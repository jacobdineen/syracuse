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BA\January 2017\Finance\Prof. Shukla's Notes\"/>
    </mc:Choice>
  </mc:AlternateContent>
  <bookViews>
    <workbookView xWindow="0" yWindow="0" windowWidth="23040" windowHeight="8808" activeTab="1"/>
  </bookViews>
  <sheets>
    <sheet name="Introduction" sheetId="2" r:id="rId1"/>
    <sheet name="Model" sheetId="1" r:id="rId2"/>
    <sheet name="Backup" sheetId="4" state="hidden" r:id="rId3"/>
  </sheets>
  <definedNames>
    <definedName name="AdjSpeed">Model!$D$5</definedName>
    <definedName name="CurrentIteratedValues">Model!$BI$10:$BI$29</definedName>
    <definedName name="Error1">Model!$P$3</definedName>
    <definedName name="FuturePricesTLC">Model!$E$10</definedName>
    <definedName name="InitialValues">Model!$BC$10:$BC$29</definedName>
    <definedName name="IteratedValues">Model!$BE$10:$BE$29</definedName>
    <definedName name="MaxMRP">Model!$D$4</definedName>
    <definedName name="MinMRP">Model!$D$3</definedName>
    <definedName name="MRP">Model!$M$4</definedName>
    <definedName name="MSEAlpha">Model!$M$3</definedName>
    <definedName name="PreviousIteratedValues">Model!$BG$10:$BG$29</definedName>
    <definedName name="Prices">Model!$B$10:$B$29</definedName>
    <definedName name="Rf">Model!$D$2</definedName>
    <definedName name="solver_adj" localSheetId="1" hidden="1">Model!$B$10:$B$29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Model!$M$4</definedName>
    <definedName name="solver_lhs2" localSheetId="1" hidden="1">Model!$M$4</definedName>
    <definedName name="solver_lin" localSheetId="1" hidden="1">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Model!$M$3</definedName>
    <definedName name="solver_pre" localSheetId="1" hidden="1">0.000001</definedName>
    <definedName name="solver_rel1" localSheetId="1" hidden="1">1</definedName>
    <definedName name="solver_rel2" localSheetId="1" hidden="1">3</definedName>
    <definedName name="solver_rhs1" localSheetId="1" hidden="1">MaxMRP</definedName>
    <definedName name="solver_rhs2" localSheetId="1" hidden="1">MinMRP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solver_ver" localSheetId="1" hidden="1">3</definedName>
    <definedName name="SumProbabilities">Model!$M$5</definedName>
    <definedName name="Values">Model!$AI$10:$AI$29</definedName>
  </definedNames>
  <calcPr calcId="171027"/>
</workbook>
</file>

<file path=xl/calcChain.xml><?xml version="1.0" encoding="utf-8"?>
<calcChain xmlns="http://schemas.openxmlformats.org/spreadsheetml/2006/main">
  <c r="K10" i="1" l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6" i="1"/>
  <c r="L16" i="1"/>
  <c r="M16" i="1"/>
  <c r="K17" i="1"/>
  <c r="L17" i="1"/>
  <c r="M17" i="1"/>
  <c r="K18" i="1"/>
  <c r="L18" i="1"/>
  <c r="M18" i="1"/>
  <c r="K19" i="1"/>
  <c r="L19" i="1"/>
  <c r="M19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P4" i="1"/>
  <c r="L26" i="1"/>
  <c r="M26" i="1"/>
  <c r="L27" i="1"/>
  <c r="M27" i="1"/>
  <c r="L28" i="1"/>
  <c r="M28" i="1"/>
  <c r="L29" i="1"/>
  <c r="M29" i="1"/>
  <c r="M5" i="1"/>
  <c r="P3" i="1" s="1"/>
  <c r="AK7" i="1" l="1"/>
  <c r="AL7" i="1"/>
  <c r="AM7" i="1"/>
  <c r="AN7" i="1"/>
  <c r="AO7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K26" i="1"/>
  <c r="AK26" i="1"/>
  <c r="AL26" i="1"/>
  <c r="AM26" i="1"/>
  <c r="AN26" i="1"/>
  <c r="AO26" i="1"/>
  <c r="K27" i="1"/>
  <c r="AK27" i="1"/>
  <c r="AL27" i="1"/>
  <c r="AM27" i="1"/>
  <c r="AN27" i="1"/>
  <c r="AO27" i="1"/>
  <c r="K28" i="1"/>
  <c r="AK28" i="1"/>
  <c r="AL28" i="1"/>
  <c r="AM28" i="1"/>
  <c r="AN28" i="1"/>
  <c r="AO28" i="1"/>
  <c r="K29" i="1"/>
  <c r="AK29" i="1"/>
  <c r="AL29" i="1"/>
  <c r="AM29" i="1"/>
  <c r="AN29" i="1"/>
  <c r="AO29" i="1"/>
  <c r="V20" i="1"/>
  <c r="V19" i="1"/>
  <c r="V18" i="1"/>
  <c r="V17" i="1"/>
  <c r="V16" i="1"/>
  <c r="V13" i="1"/>
  <c r="V14" i="1"/>
  <c r="V15" i="1"/>
  <c r="V21" i="1"/>
  <c r="V22" i="1"/>
  <c r="V23" i="1"/>
  <c r="V11" i="1"/>
  <c r="V12" i="1"/>
  <c r="V24" i="1"/>
  <c r="V25" i="1"/>
  <c r="V26" i="1"/>
  <c r="V27" i="1"/>
  <c r="V28" i="1"/>
  <c r="V29" i="1"/>
  <c r="V10" i="1"/>
  <c r="O10" i="1" l="1"/>
  <c r="AS10" i="1" s="1"/>
  <c r="O25" i="1"/>
  <c r="AR25" i="1" s="1"/>
  <c r="O29" i="1"/>
  <c r="AU29" i="1" s="1"/>
  <c r="O17" i="1"/>
  <c r="AT17" i="1" s="1"/>
  <c r="O21" i="1"/>
  <c r="AS21" i="1" s="1"/>
  <c r="O13" i="1"/>
  <c r="AR13" i="1" s="1"/>
  <c r="O23" i="1"/>
  <c r="AS23" i="1" s="1"/>
  <c r="O15" i="1"/>
  <c r="O27" i="1"/>
  <c r="AR27" i="1" s="1"/>
  <c r="O19" i="1"/>
  <c r="AQ19" i="1" s="1"/>
  <c r="O26" i="1"/>
  <c r="O22" i="1"/>
  <c r="AS22" i="1" s="1"/>
  <c r="O18" i="1"/>
  <c r="AQ18" i="1" s="1"/>
  <c r="O14" i="1"/>
  <c r="AS14" i="1" s="1"/>
  <c r="O28" i="1"/>
  <c r="O24" i="1"/>
  <c r="AS24" i="1" s="1"/>
  <c r="O20" i="1"/>
  <c r="AQ20" i="1" s="1"/>
  <c r="O16" i="1"/>
  <c r="AQ16" i="1" s="1"/>
  <c r="O12" i="1"/>
  <c r="AR12" i="1" s="1"/>
  <c r="O11" i="1"/>
  <c r="V31" i="1"/>
  <c r="AU16" i="1" l="1"/>
  <c r="AT16" i="1"/>
  <c r="AQ23" i="1"/>
  <c r="AU20" i="1"/>
  <c r="AR20" i="1"/>
  <c r="AU19" i="1"/>
  <c r="AQ17" i="1"/>
  <c r="AT18" i="1"/>
  <c r="AS18" i="1"/>
  <c r="AS20" i="1"/>
  <c r="AT20" i="1"/>
  <c r="AU14" i="1"/>
  <c r="AR19" i="1"/>
  <c r="AR16" i="1"/>
  <c r="AQ21" i="1"/>
  <c r="AS16" i="1"/>
  <c r="AT19" i="1"/>
  <c r="AS17" i="1"/>
  <c r="AR14" i="1"/>
  <c r="AR23" i="1"/>
  <c r="AQ14" i="1"/>
  <c r="AU23" i="1"/>
  <c r="AT14" i="1"/>
  <c r="AT23" i="1"/>
  <c r="AU17" i="1"/>
  <c r="AU18" i="1"/>
  <c r="AR17" i="1"/>
  <c r="AR18" i="1"/>
  <c r="AS19" i="1"/>
  <c r="AR21" i="1"/>
  <c r="AT27" i="1"/>
  <c r="AU21" i="1"/>
  <c r="AT21" i="1"/>
  <c r="AT10" i="1"/>
  <c r="AU28" i="1"/>
  <c r="AT28" i="1"/>
  <c r="AR11" i="1"/>
  <c r="AT11" i="1"/>
  <c r="AR15" i="1"/>
  <c r="AT15" i="1"/>
  <c r="AS26" i="1"/>
  <c r="AT26" i="1"/>
  <c r="AR22" i="1"/>
  <c r="AT22" i="1"/>
  <c r="AQ15" i="1"/>
  <c r="AU15" i="1"/>
  <c r="AS13" i="1"/>
  <c r="AS15" i="1"/>
  <c r="AQ22" i="1"/>
  <c r="AU22" i="1"/>
  <c r="AT12" i="1"/>
  <c r="AT29" i="1"/>
  <c r="AT25" i="1"/>
  <c r="AT24" i="1"/>
  <c r="AQ24" i="1"/>
  <c r="AR24" i="1"/>
  <c r="AU24" i="1"/>
  <c r="AT13" i="1"/>
  <c r="AU13" i="1"/>
  <c r="AQ13" i="1"/>
  <c r="W19" i="1"/>
  <c r="W20" i="1"/>
  <c r="W16" i="1"/>
  <c r="W18" i="1"/>
  <c r="W17" i="1"/>
  <c r="W26" i="1"/>
  <c r="W13" i="1"/>
  <c r="W14" i="1"/>
  <c r="W15" i="1"/>
  <c r="W21" i="1"/>
  <c r="W22" i="1"/>
  <c r="W23" i="1"/>
  <c r="W28" i="1"/>
  <c r="AS27" i="1"/>
  <c r="AR29" i="1"/>
  <c r="AQ29" i="1"/>
  <c r="W11" i="1"/>
  <c r="W29" i="1"/>
  <c r="AQ25" i="1"/>
  <c r="W25" i="1"/>
  <c r="W24" i="1"/>
  <c r="AS11" i="1"/>
  <c r="AS12" i="1"/>
  <c r="AR26" i="1"/>
  <c r="AQ10" i="1"/>
  <c r="AS29" i="1"/>
  <c r="W10" i="1"/>
  <c r="W27" i="1"/>
  <c r="W12" i="1"/>
  <c r="AU11" i="1"/>
  <c r="AU25" i="1"/>
  <c r="AU27" i="1"/>
  <c r="AQ11" i="1"/>
  <c r="AS25" i="1"/>
  <c r="AQ27" i="1"/>
  <c r="AR28" i="1"/>
  <c r="AS28" i="1"/>
  <c r="AQ28" i="1"/>
  <c r="AU12" i="1"/>
  <c r="AU26" i="1"/>
  <c r="AR10" i="1"/>
  <c r="AQ12" i="1"/>
  <c r="AQ26" i="1"/>
  <c r="AU10" i="1"/>
  <c r="P18" i="1" l="1"/>
  <c r="P26" i="1"/>
  <c r="P27" i="1"/>
  <c r="P11" i="1"/>
  <c r="P22" i="1"/>
  <c r="P15" i="1"/>
  <c r="P19" i="1"/>
  <c r="P20" i="1"/>
  <c r="P16" i="1"/>
  <c r="P10" i="1"/>
  <c r="P24" i="1"/>
  <c r="P14" i="1"/>
  <c r="P21" i="1"/>
  <c r="P17" i="1"/>
  <c r="P23" i="1"/>
  <c r="AN31" i="1"/>
  <c r="AK31" i="1"/>
  <c r="AM31" i="1"/>
  <c r="AO31" i="1"/>
  <c r="AL31" i="1"/>
  <c r="P25" i="1"/>
  <c r="P12" i="1"/>
  <c r="P28" i="1"/>
  <c r="P29" i="1"/>
  <c r="P13" i="1"/>
  <c r="W31" i="1"/>
  <c r="L31" i="1" l="1"/>
  <c r="M31" i="1"/>
  <c r="O31" i="1"/>
  <c r="AZ20" i="1" s="1"/>
  <c r="AX28" i="1" l="1"/>
  <c r="AX24" i="1"/>
  <c r="AW26" i="1"/>
  <c r="AW29" i="1"/>
  <c r="AY29" i="1"/>
  <c r="AZ24" i="1"/>
  <c r="AY11" i="1"/>
  <c r="BA25" i="1"/>
  <c r="AX25" i="1"/>
  <c r="BA12" i="1"/>
  <c r="AY26" i="1"/>
  <c r="AW27" i="1"/>
  <c r="BA28" i="1"/>
  <c r="AZ29" i="1"/>
  <c r="BA21" i="1"/>
  <c r="AY13" i="1"/>
  <c r="BA16" i="1"/>
  <c r="AX23" i="1"/>
  <c r="AZ23" i="1"/>
  <c r="AX16" i="1"/>
  <c r="AX13" i="1"/>
  <c r="AX21" i="1"/>
  <c r="AZ16" i="1"/>
  <c r="BA27" i="1"/>
  <c r="AY27" i="1"/>
  <c r="BA26" i="1"/>
  <c r="AW10" i="1"/>
  <c r="AS31" i="1"/>
  <c r="AW11" i="1"/>
  <c r="AY31" i="1"/>
  <c r="AW12" i="1"/>
  <c r="BA11" i="1"/>
  <c r="AX29" i="1"/>
  <c r="BA10" i="1"/>
  <c r="AZ28" i="1"/>
  <c r="AZ10" i="1"/>
  <c r="AZ25" i="1"/>
  <c r="AW22" i="1"/>
  <c r="AY21" i="1"/>
  <c r="BA13" i="1"/>
  <c r="AZ15" i="1"/>
  <c r="AZ14" i="1"/>
  <c r="AY15" i="1"/>
  <c r="BA23" i="1"/>
  <c r="AW23" i="1"/>
  <c r="AY17" i="1"/>
  <c r="AX18" i="1"/>
  <c r="AW19" i="1"/>
  <c r="AX20" i="1"/>
  <c r="AW28" i="1"/>
  <c r="BA24" i="1"/>
  <c r="AW24" i="1"/>
  <c r="AY24" i="1"/>
  <c r="AU31" i="1"/>
  <c r="AX12" i="1"/>
  <c r="AY10" i="1"/>
  <c r="BA29" i="1"/>
  <c r="AX31" i="1"/>
  <c r="AR31" i="1"/>
  <c r="AW25" i="1"/>
  <c r="AX27" i="1"/>
  <c r="AQ31" i="1"/>
  <c r="BA31" i="1"/>
  <c r="AX26" i="1"/>
  <c r="AY12" i="1"/>
  <c r="AY28" i="1"/>
  <c r="AX10" i="1"/>
  <c r="AW31" i="1"/>
  <c r="AY25" i="1"/>
  <c r="AX11" i="1"/>
  <c r="AZ31" i="1"/>
  <c r="AZ26" i="1"/>
  <c r="AZ12" i="1"/>
  <c r="AT31" i="1"/>
  <c r="AZ27" i="1"/>
  <c r="AZ11" i="1"/>
  <c r="AW13" i="1"/>
  <c r="AW21" i="1"/>
  <c r="AY22" i="1"/>
  <c r="AX14" i="1"/>
  <c r="AX15" i="1"/>
  <c r="BA22" i="1"/>
  <c r="AZ22" i="1"/>
  <c r="AZ13" i="1"/>
  <c r="AZ21" i="1"/>
  <c r="AY16" i="1"/>
  <c r="AW14" i="1"/>
  <c r="AY23" i="1"/>
  <c r="BA15" i="1"/>
  <c r="AW16" i="1"/>
  <c r="AW15" i="1"/>
  <c r="AY14" i="1"/>
  <c r="BA14" i="1"/>
  <c r="AW17" i="1"/>
  <c r="BA18" i="1"/>
  <c r="AY19" i="1"/>
  <c r="AZ18" i="1"/>
  <c r="AY20" i="1"/>
  <c r="AX22" i="1"/>
  <c r="AX17" i="1"/>
  <c r="BA17" i="1"/>
  <c r="AZ17" i="1"/>
  <c r="AY18" i="1"/>
  <c r="AW18" i="1"/>
  <c r="AX19" i="1"/>
  <c r="BA19" i="1"/>
  <c r="AZ19" i="1"/>
  <c r="AW20" i="1"/>
  <c r="BA20" i="1"/>
  <c r="K31" i="1"/>
  <c r="P31" i="1" l="1"/>
  <c r="S26" i="1" s="1"/>
  <c r="T26" i="1" s="1"/>
  <c r="S25" i="1" l="1"/>
  <c r="AG25" i="1" s="1"/>
  <c r="S12" i="1"/>
  <c r="S17" i="1"/>
  <c r="AG17" i="1" s="1"/>
  <c r="S23" i="1"/>
  <c r="T23" i="1" s="1"/>
  <c r="S18" i="1"/>
  <c r="AG18" i="1" s="1"/>
  <c r="AG26" i="1"/>
  <c r="S21" i="1"/>
  <c r="AG21" i="1" s="1"/>
  <c r="S15" i="1"/>
  <c r="T15" i="1" s="1"/>
  <c r="S14" i="1"/>
  <c r="T14" i="1" s="1"/>
  <c r="S27" i="1"/>
  <c r="T27" i="1" s="1"/>
  <c r="S24" i="1"/>
  <c r="AG24" i="1" s="1"/>
  <c r="S20" i="1"/>
  <c r="AG20" i="1" s="1"/>
  <c r="S28" i="1"/>
  <c r="AG28" i="1" s="1"/>
  <c r="S31" i="1"/>
  <c r="AG31" i="1" s="1"/>
  <c r="M4" i="1" s="1"/>
  <c r="P5" i="1" s="1"/>
  <c r="S16" i="1"/>
  <c r="AG16" i="1" s="1"/>
  <c r="S13" i="1"/>
  <c r="AG13" i="1" s="1"/>
  <c r="S11" i="1"/>
  <c r="AG11" i="1" s="1"/>
  <c r="S19" i="1"/>
  <c r="AG19" i="1" s="1"/>
  <c r="S29" i="1"/>
  <c r="S22" i="1"/>
  <c r="S10" i="1"/>
  <c r="AI17" i="1" l="1"/>
  <c r="BI17" i="1" s="1"/>
  <c r="R19" i="1"/>
  <c r="AI11" i="1"/>
  <c r="BI11" i="1" s="1"/>
  <c r="R25" i="1"/>
  <c r="R13" i="1"/>
  <c r="R16" i="1"/>
  <c r="AI21" i="1"/>
  <c r="BI21" i="1" s="1"/>
  <c r="R26" i="1"/>
  <c r="AI28" i="1"/>
  <c r="BI28" i="1" s="1"/>
  <c r="T18" i="1"/>
  <c r="AG15" i="1"/>
  <c r="AI26" i="1"/>
  <c r="BI26" i="1" s="1"/>
  <c r="T20" i="1"/>
  <c r="AG27" i="1"/>
  <c r="R17" i="1"/>
  <c r="AI25" i="1"/>
  <c r="BI25" i="1" s="1"/>
  <c r="R21" i="1"/>
  <c r="T24" i="1"/>
  <c r="T17" i="1"/>
  <c r="T25" i="1"/>
  <c r="AG23" i="1"/>
  <c r="AG12" i="1"/>
  <c r="T12" i="1"/>
  <c r="R11" i="1"/>
  <c r="T11" i="1"/>
  <c r="T19" i="1"/>
  <c r="R28" i="1"/>
  <c r="T16" i="1"/>
  <c r="AG14" i="1"/>
  <c r="T21" i="1"/>
  <c r="AI13" i="1"/>
  <c r="BI13" i="1" s="1"/>
  <c r="R31" i="1"/>
  <c r="AI19" i="1"/>
  <c r="BI19" i="1" s="1"/>
  <c r="T13" i="1"/>
  <c r="AG10" i="1"/>
  <c r="T10" i="1"/>
  <c r="AG29" i="1"/>
  <c r="T29" i="1"/>
  <c r="T22" i="1"/>
  <c r="AG22" i="1"/>
  <c r="AI16" i="1"/>
  <c r="BI16" i="1" s="1"/>
  <c r="T28" i="1"/>
  <c r="BC14" i="1"/>
  <c r="BC22" i="1"/>
  <c r="BC13" i="1"/>
  <c r="BC21" i="1"/>
  <c r="BC29" i="1"/>
  <c r="BC12" i="1"/>
  <c r="BC16" i="1"/>
  <c r="BC20" i="1"/>
  <c r="BC24" i="1"/>
  <c r="BC28" i="1"/>
  <c r="BC11" i="1"/>
  <c r="BC15" i="1"/>
  <c r="BC19" i="1"/>
  <c r="BC23" i="1"/>
  <c r="BC27" i="1"/>
  <c r="BC18" i="1"/>
  <c r="BC26" i="1"/>
  <c r="BC10" i="1"/>
  <c r="BC17" i="1"/>
  <c r="BC25" i="1"/>
  <c r="R20" i="1"/>
  <c r="AI20" i="1"/>
  <c r="BI20" i="1" s="1"/>
  <c r="R24" i="1"/>
  <c r="AI24" i="1"/>
  <c r="BI24" i="1" s="1"/>
  <c r="R18" i="1"/>
  <c r="AI18" i="1"/>
  <c r="BI18" i="1" s="1"/>
  <c r="AI14" i="1" l="1"/>
  <c r="BI14" i="1" s="1"/>
  <c r="AI15" i="1"/>
  <c r="BI15" i="1" s="1"/>
  <c r="R27" i="1"/>
  <c r="AI27" i="1"/>
  <c r="BI27" i="1" s="1"/>
  <c r="R15" i="1"/>
  <c r="R23" i="1"/>
  <c r="AI23" i="1"/>
  <c r="BI23" i="1" s="1"/>
  <c r="AI12" i="1"/>
  <c r="BI12" i="1" s="1"/>
  <c r="R12" i="1"/>
  <c r="R14" i="1"/>
  <c r="R29" i="1"/>
  <c r="AI29" i="1"/>
  <c r="BI29" i="1" s="1"/>
  <c r="R10" i="1"/>
  <c r="AI10" i="1"/>
  <c r="BI10" i="1" s="1"/>
  <c r="AI22" i="1"/>
  <c r="BI22" i="1" s="1"/>
  <c r="R22" i="1"/>
  <c r="M3" i="1" l="1"/>
  <c r="F1" i="1" s="1"/>
</calcChain>
</file>

<file path=xl/sharedStrings.xml><?xml version="1.0" encoding="utf-8"?>
<sst xmlns="http://schemas.openxmlformats.org/spreadsheetml/2006/main" count="139" uniqueCount="101">
  <si>
    <t>Security</t>
  </si>
  <si>
    <t>Shares</t>
  </si>
  <si>
    <t>b</t>
  </si>
  <si>
    <t>E(r|SML)</t>
  </si>
  <si>
    <t>E(r)</t>
  </si>
  <si>
    <t>s</t>
  </si>
  <si>
    <t>M</t>
  </si>
  <si>
    <t>Value</t>
  </si>
  <si>
    <t>Prices</t>
  </si>
  <si>
    <t>a</t>
  </si>
  <si>
    <t>Deviation squared</t>
  </si>
  <si>
    <t>MRP</t>
  </si>
  <si>
    <r>
      <t xml:space="preserve">MSE </t>
    </r>
    <r>
      <rPr>
        <sz val="11"/>
        <color theme="1"/>
        <rFont val="Symbol"/>
        <family val="1"/>
        <charset val="2"/>
      </rPr>
      <t>a</t>
    </r>
  </si>
  <si>
    <t>State 1</t>
  </si>
  <si>
    <t>State 2</t>
  </si>
  <si>
    <t>State 3</t>
  </si>
  <si>
    <t>State 4</t>
  </si>
  <si>
    <t>State 5</t>
  </si>
  <si>
    <t>Next Year's Possible States of the Economy</t>
  </si>
  <si>
    <t>Messages</t>
  </si>
  <si>
    <r>
      <t>E(P</t>
    </r>
    <r>
      <rPr>
        <b/>
        <vertAlign val="subscript"/>
        <sz val="11"/>
        <color rgb="FFFFFF00"/>
        <rFont val="Calibri"/>
        <family val="2"/>
        <scheme val="minor"/>
      </rPr>
      <t>1</t>
    </r>
    <r>
      <rPr>
        <b/>
        <sz val="11"/>
        <color rgb="FFFFFF00"/>
        <rFont val="Calibri"/>
        <family val="2"/>
        <scheme val="minor"/>
      </rPr>
      <t>)</t>
    </r>
  </si>
  <si>
    <r>
      <rPr>
        <b/>
        <sz val="11"/>
        <color rgb="FFFFFF00"/>
        <rFont val="Symbol"/>
        <family val="1"/>
        <charset val="2"/>
      </rPr>
      <t>s</t>
    </r>
    <r>
      <rPr>
        <b/>
        <sz val="11"/>
        <color rgb="FFFFFF00"/>
        <rFont val="Calibri"/>
        <family val="2"/>
        <scheme val="minor"/>
      </rPr>
      <t>(</t>
    </r>
    <r>
      <rPr>
        <b/>
        <sz val="11"/>
        <color rgb="FFFFFF00"/>
        <rFont val="Calibri"/>
        <family val="2"/>
      </rPr>
      <t>e</t>
    </r>
    <r>
      <rPr>
        <b/>
        <sz val="11"/>
        <color rgb="FFFFFF00"/>
        <rFont val="Symbol"/>
        <family val="1"/>
        <charset val="2"/>
      </rPr>
      <t>)</t>
    </r>
  </si>
  <si>
    <t>Possible Returns</t>
  </si>
  <si>
    <t>$</t>
  </si>
  <si>
    <t>%</t>
  </si>
  <si>
    <t>Market Value</t>
  </si>
  <si>
    <t>Prices in Various States</t>
  </si>
  <si>
    <t xml:space="preserve">Note 1: </t>
  </si>
  <si>
    <t xml:space="preserve">Note 2: </t>
  </si>
  <si>
    <t>Risk-free Rate</t>
  </si>
  <si>
    <t>Ravi Shukla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</si>
  <si>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</si>
  <si>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t>CAPM and Market Equilibrium</t>
  </si>
  <si>
    <t>Work area. Do not modify unless you know what you are doing.</t>
  </si>
  <si>
    <t>Cross-product Deviation with Market</t>
  </si>
  <si>
    <t>Minimum Market Risk Premium</t>
  </si>
  <si>
    <t>Maximum Market Risk Premium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</si>
  <si>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Prob</t>
    </r>
  </si>
  <si>
    <t>Min</t>
  </si>
  <si>
    <t>Max</t>
  </si>
  <si>
    <t xml:space="preserve">Note 3: </t>
  </si>
  <si>
    <t>Price</t>
  </si>
  <si>
    <t>The model assumes that the stocks will not pay any dividends between now and next year.</t>
  </si>
  <si>
    <t></t>
  </si>
  <si>
    <t>Range of acceptable market risk premium (MRP).</t>
  </si>
  <si>
    <t>The risk-free rate.</t>
  </si>
  <si>
    <t>This spreadsheet models a single-period securities market with 20 securities based on the</t>
  </si>
  <si>
    <t xml:space="preserve">following user inputs: </t>
  </si>
  <si>
    <t xml:space="preserve">The economy has five possible states for next year. The user specifies </t>
  </si>
  <si>
    <t>The probabilities of these states of the economy.</t>
  </si>
  <si>
    <t>The prices for the various stocks in these states.</t>
  </si>
  <si>
    <t>The model calculates the following quantities:</t>
  </si>
  <si>
    <t>The model is initialized with some security prices and number of shares outstanding.</t>
  </si>
  <si>
    <t>The economy with the current prices may or may not be in equilibrium. The model informs</t>
  </si>
  <si>
    <t>the user of the economy's equilibrium status with a message on the top of the spreadsheet</t>
  </si>
  <si>
    <t>(F1:H1).</t>
  </si>
  <si>
    <t>If the economy is not in equilibrium, the user can manipulate any of the user inputs to</t>
  </si>
  <si>
    <t>restore equilibrium. The best candidates for manipulation are the current stock prices.</t>
  </si>
  <si>
    <t>Each security's market value is calculated as the product of its price and shares</t>
  </si>
  <si>
    <t>outstanding.</t>
  </si>
  <si>
    <t>The possible returns in the various states of the economy are calculated using the</t>
  </si>
  <si>
    <t>current prices and possible future prices.</t>
  </si>
  <si>
    <t>Using these returns, the model calculates expected returns and standard</t>
  </si>
  <si>
    <t>deviations.</t>
  </si>
  <si>
    <t>The returns for the market portfolio are calculated in each state as the</t>
  </si>
  <si>
    <t>market-value weighted average of the security returns.</t>
  </si>
  <si>
    <t>The market risk premium is calculated as the difference between the expected</t>
  </si>
  <si>
    <t>market return and the risk-free rate.</t>
  </si>
  <si>
    <t>Covariances and betas for the securities are calculated using the possible security</t>
  </si>
  <si>
    <t>and market returns.</t>
  </si>
  <si>
    <t>Risk-appropriate expected returns are calculated using the risk-free rate, the beta</t>
  </si>
  <si>
    <t>and market risk premium.</t>
  </si>
  <si>
    <t>Alphas for securities are calculated as the difference between risk-appropriate</t>
  </si>
  <si>
    <t>expected return (E(r|SML)) and the expected return calculated using the possible</t>
  </si>
  <si>
    <t>returns and probabilities.</t>
  </si>
  <si>
    <t>A weighted mean squared alpha is calculated using the alphas and market values</t>
  </si>
  <si>
    <t>of the securities.</t>
  </si>
  <si>
    <t>The economy is considered to be in equilibrium if the weighted mean squared alpha is small.</t>
  </si>
  <si>
    <t>Here are the suggested steps to use the model:</t>
  </si>
  <si>
    <t>the economy into disequilibrium.</t>
  </si>
  <si>
    <t>Try adjusting the current prices by hand to bring the economy back into</t>
  </si>
  <si>
    <t>equilibrium.</t>
  </si>
  <si>
    <r>
      <t xml:space="preserve">Click the </t>
    </r>
    <r>
      <rPr>
        <b/>
        <sz val="11"/>
        <color theme="1"/>
        <rFont val="Calibri"/>
        <family val="2"/>
        <scheme val="minor"/>
      </rPr>
      <t>Perturb</t>
    </r>
    <r>
      <rPr>
        <sz val="11"/>
        <color theme="1"/>
        <rFont val="Calibri"/>
        <family val="2"/>
        <scheme val="minor"/>
      </rPr>
      <t xml:space="preserve"> button. This will randomly change some future prices, bringing</t>
    </r>
  </si>
  <si>
    <r>
      <t xml:space="preserve">If unsuccessful in restoring the equilibrium, click the </t>
    </r>
    <r>
      <rPr>
        <b/>
        <sz val="11"/>
        <color theme="1"/>
        <rFont val="Calibri"/>
        <family val="2"/>
        <scheme val="minor"/>
      </rPr>
      <t>Initialize Prices</t>
    </r>
    <r>
      <rPr>
        <sz val="11"/>
        <color theme="1"/>
        <rFont val="Calibri"/>
        <family val="2"/>
        <scheme val="minor"/>
      </rPr>
      <t xml:space="preserve"> button</t>
    </r>
  </si>
  <si>
    <r>
      <t xml:space="preserve">followed by the </t>
    </r>
    <r>
      <rPr>
        <b/>
        <sz val="11"/>
        <color theme="1"/>
        <rFont val="Calibri"/>
        <family val="2"/>
        <scheme val="minor"/>
      </rPr>
      <t>Next Iteration</t>
    </r>
    <r>
      <rPr>
        <sz val="11"/>
        <color theme="1"/>
        <rFont val="Calibri"/>
        <family val="2"/>
        <scheme val="minor"/>
      </rPr>
      <t xml:space="preserve"> button a few times to bring the prices to</t>
    </r>
  </si>
  <si>
    <t>Watch for the messages area. If there is something wrong, the background color of</t>
  </si>
  <si>
    <t>a message will turn red.</t>
  </si>
  <si>
    <r>
      <t xml:space="preserve">If the iterative process doesn't work, click on the </t>
    </r>
    <r>
      <rPr>
        <b/>
        <sz val="11"/>
        <color theme="1"/>
        <rFont val="Calibri"/>
        <family val="2"/>
        <scheme val="minor"/>
      </rPr>
      <t>Find Equilibrium Prices</t>
    </r>
    <r>
      <rPr>
        <sz val="11"/>
        <color theme="1"/>
        <rFont val="Calibri"/>
        <family val="2"/>
        <scheme val="minor"/>
      </rPr>
      <t xml:space="preserve"> button.</t>
    </r>
  </si>
  <si>
    <t>If that also doesn't work (the situation is hopeless), click on the Restore Factory</t>
  </si>
  <si>
    <t xml:space="preserve">Settings button. </t>
  </si>
  <si>
    <t>The model provides several informational statistics about the securities.</t>
  </si>
  <si>
    <t>equilibrium. Keep an eye on the Mean Squared Error alpha and the charts showing</t>
  </si>
  <si>
    <t>the relationship between expected return and sigma as well as expected return</t>
  </si>
  <si>
    <t>and beta.</t>
  </si>
  <si>
    <t>First draft: March 2009. This revision: December 4, 2012</t>
  </si>
  <si>
    <t>Previous</t>
  </si>
  <si>
    <t>Iteration</t>
  </si>
  <si>
    <t>Current</t>
  </si>
  <si>
    <t>Initial</t>
  </si>
  <si>
    <t>Adjustment Speed</t>
  </si>
  <si>
    <t>The speed at which the market prices adjust to restore equilibrium. 0 means never, 1 means immediately. The model allows for values between 0.2 and 0.8.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</si>
</sst>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0.0000"/>
    <numFmt numFmtId="166" formatCode="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rgb="FFFFFF00"/>
      <name val="Calibri"/>
      <family val="2"/>
      <scheme val="minor"/>
    </font>
    <font>
      <b/>
      <vertAlign val="subscript"/>
      <sz val="11"/>
      <color rgb="FFFFFF00"/>
      <name val="Calibri"/>
      <family val="2"/>
      <scheme val="minor"/>
    </font>
    <font>
      <b/>
      <sz val="11"/>
      <color rgb="FFFFFF00"/>
      <name val="Symbol"/>
      <family val="1"/>
      <charset val="2"/>
    </font>
    <font>
      <b/>
      <sz val="11"/>
      <color rgb="FFFFFF00"/>
      <name val="Calibri"/>
      <family val="2"/>
    </font>
    <font>
      <b/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64">
    <xf numFmtId="0" fontId="0" fillId="0" borderId="0" xfId="0"/>
    <xf numFmtId="0" fontId="0" fillId="0" borderId="0" xfId="0" applyAlignment="1">
      <alignment horizontal="right"/>
    </xf>
    <xf numFmtId="10" fontId="0" fillId="0" borderId="2" xfId="1" applyNumberFormat="1" applyFont="1" applyBorder="1"/>
    <xf numFmtId="0" fontId="0" fillId="0" borderId="2" xfId="0" applyBorder="1"/>
    <xf numFmtId="10" fontId="0" fillId="0" borderId="0" xfId="1" applyNumberFormat="1" applyFont="1"/>
    <xf numFmtId="165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0" fontId="0" fillId="0" borderId="0" xfId="0" applyBorder="1"/>
    <xf numFmtId="0" fontId="0" fillId="3" borderId="2" xfId="0" applyFill="1" applyBorder="1"/>
    <xf numFmtId="0" fontId="5" fillId="5" borderId="2" xfId="0" applyFont="1" applyFill="1" applyBorder="1" applyAlignment="1">
      <alignment horizontal="right"/>
    </xf>
    <xf numFmtId="0" fontId="7" fillId="5" borderId="2" xfId="0" applyFont="1" applyFill="1" applyBorder="1" applyAlignment="1">
      <alignment horizontal="right"/>
    </xf>
    <xf numFmtId="10" fontId="0" fillId="0" borderId="2" xfId="0" applyNumberFormat="1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center"/>
    </xf>
    <xf numFmtId="0" fontId="12" fillId="0" borderId="0" xfId="0" applyFont="1"/>
    <xf numFmtId="10" fontId="2" fillId="2" borderId="8" xfId="2" applyNumberFormat="1" applyBorder="1" applyProtection="1">
      <protection locked="0"/>
    </xf>
    <xf numFmtId="10" fontId="2" fillId="2" borderId="1" xfId="2" applyNumberFormat="1" applyProtection="1">
      <protection locked="0"/>
    </xf>
    <xf numFmtId="0" fontId="2" fillId="2" borderId="4" xfId="2" applyBorder="1" applyAlignment="1" applyProtection="1">
      <alignment horizontal="center"/>
      <protection locked="0"/>
    </xf>
    <xf numFmtId="0" fontId="2" fillId="2" borderId="1" xfId="2" applyAlignment="1" applyProtection="1">
      <alignment horizontal="center"/>
      <protection locked="0"/>
    </xf>
    <xf numFmtId="2" fontId="2" fillId="2" borderId="1" xfId="2" applyNumberFormat="1" applyProtection="1">
      <protection locked="0"/>
    </xf>
    <xf numFmtId="9" fontId="2" fillId="2" borderId="4" xfId="2" applyNumberFormat="1" applyBorder="1" applyAlignment="1" applyProtection="1">
      <alignment horizontal="right"/>
      <protection locked="0"/>
    </xf>
    <xf numFmtId="164" fontId="2" fillId="2" borderId="1" xfId="2" applyNumberFormat="1" applyProtection="1">
      <protection locked="0"/>
    </xf>
    <xf numFmtId="0" fontId="0" fillId="0" borderId="3" xfId="0" applyBorder="1"/>
    <xf numFmtId="0" fontId="0" fillId="0" borderId="12" xfId="0" applyBorder="1"/>
    <xf numFmtId="0" fontId="0" fillId="0" borderId="13" xfId="0" applyBorder="1"/>
    <xf numFmtId="0" fontId="0" fillId="0" borderId="0" xfId="0" applyBorder="1" applyAlignment="1">
      <alignment horizontal="right"/>
    </xf>
    <xf numFmtId="10" fontId="0" fillId="0" borderId="0" xfId="1" applyNumberFormat="1" applyFont="1" applyBorder="1"/>
    <xf numFmtId="0" fontId="0" fillId="0" borderId="14" xfId="0" applyBorder="1"/>
    <xf numFmtId="0" fontId="0" fillId="0" borderId="5" xfId="0" applyBorder="1"/>
    <xf numFmtId="0" fontId="0" fillId="0" borderId="15" xfId="0" applyBorder="1"/>
    <xf numFmtId="0" fontId="5" fillId="5" borderId="9" xfId="0" applyFont="1" applyFill="1" applyBorder="1" applyAlignment="1"/>
    <xf numFmtId="0" fontId="5" fillId="5" borderId="10" xfId="0" applyFont="1" applyFill="1" applyBorder="1" applyAlignment="1"/>
    <xf numFmtId="0" fontId="5" fillId="5" borderId="11" xfId="0" applyFont="1" applyFill="1" applyBorder="1" applyAlignment="1"/>
    <xf numFmtId="10" fontId="0" fillId="0" borderId="14" xfId="0" applyNumberFormat="1" applyBorder="1"/>
    <xf numFmtId="0" fontId="0" fillId="3" borderId="2" xfId="0" applyFill="1" applyBorder="1" applyAlignment="1">
      <alignment horizontal="center"/>
    </xf>
    <xf numFmtId="9" fontId="0" fillId="0" borderId="2" xfId="0" applyNumberFormat="1" applyBorder="1"/>
    <xf numFmtId="0" fontId="5" fillId="5" borderId="0" xfId="0" applyFont="1" applyFill="1" applyAlignment="1">
      <alignment horizontal="center"/>
    </xf>
    <xf numFmtId="164" fontId="13" fillId="6" borderId="8" xfId="2" applyNumberFormat="1" applyFont="1" applyFill="1" applyBorder="1" applyProtection="1">
      <protection locked="0"/>
    </xf>
    <xf numFmtId="0" fontId="14" fillId="0" borderId="0" xfId="0" applyFont="1" applyAlignment="1">
      <alignment horizontal="right"/>
    </xf>
    <xf numFmtId="0" fontId="5" fillId="5" borderId="0" xfId="0" applyFont="1" applyFill="1" applyBorder="1" applyAlignment="1"/>
    <xf numFmtId="0" fontId="5" fillId="5" borderId="0" xfId="0" applyFont="1" applyFill="1" applyBorder="1" applyAlignment="1">
      <alignment horizontal="right"/>
    </xf>
    <xf numFmtId="164" fontId="0" fillId="0" borderId="0" xfId="0" applyNumberFormat="1" applyBorder="1"/>
    <xf numFmtId="0" fontId="5" fillId="5" borderId="13" xfId="0" applyFont="1" applyFill="1" applyBorder="1" applyAlignment="1">
      <alignment horizontal="right"/>
    </xf>
    <xf numFmtId="164" fontId="0" fillId="0" borderId="13" xfId="0" applyNumberFormat="1" applyBorder="1"/>
    <xf numFmtId="10" fontId="2" fillId="2" borderId="16" xfId="2" applyNumberFormat="1" applyBorder="1" applyProtection="1">
      <protection locked="0"/>
    </xf>
    <xf numFmtId="2" fontId="2" fillId="2" borderId="2" xfId="2" applyNumberFormat="1" applyBorder="1" applyProtection="1">
      <protection locked="0"/>
    </xf>
    <xf numFmtId="0" fontId="9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0" fillId="3" borderId="2" xfId="0" applyFill="1" applyBorder="1" applyAlignment="1"/>
    <xf numFmtId="0" fontId="5" fillId="5" borderId="3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</cellXfs>
  <cellStyles count="3">
    <cellStyle name="Input" xfId="2" builtinId="20"/>
    <cellStyle name="Normal" xfId="0" builtinId="0"/>
    <cellStyle name="Percent" xfId="1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E(r) vs </a:t>
            </a:r>
            <a:r>
              <a:rPr lang="en-US" baseline="0">
                <a:latin typeface="Symbol" pitchFamily="18" charset="2"/>
              </a:rPr>
              <a:t>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Model!$A$10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{A135FBA9-5B23-4636-A95B-5FC69522757F}</c15:txfldGUID>
                      <c15:f>Model!$A$10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E2AF-47C3-A8BB-236874F8E115}"/>
                </c:ext>
              </c:extLst>
            </c:dLbl>
            <c:dLbl>
              <c:idx val="1"/>
              <c:tx>
                <c:strRef>
                  <c:f>Model!$A$11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{0D564480-78C1-4CCA-B1C3-C11E07DCABF2}</c15:txfldGUID>
                      <c15:f>Model!$A$11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2AF-47C3-A8BB-236874F8E115}"/>
                </c:ext>
              </c:extLst>
            </c:dLbl>
            <c:dLbl>
              <c:idx val="2"/>
              <c:tx>
                <c:strRef>
                  <c:f>Model!$A$12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{D7401DA2-7660-4BC1-A7BE-56F026862090}</c15:txfldGUID>
                      <c15:f>Model!$A$12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2AF-47C3-A8BB-236874F8E115}"/>
                </c:ext>
              </c:extLst>
            </c:dLbl>
            <c:dLbl>
              <c:idx val="3"/>
              <c:tx>
                <c:strRef>
                  <c:f>Model!$A$13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{B7CA1F40-7BEB-4F92-8901-9DFA67A81E1C}</c15:txfldGUID>
                      <c15:f>Model!$A$13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2AF-47C3-A8BB-236874F8E115}"/>
                </c:ext>
              </c:extLst>
            </c:dLbl>
            <c:dLbl>
              <c:idx val="4"/>
              <c:tx>
                <c:strRef>
                  <c:f>Model!$A$14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{98246F28-E86B-4C2E-8FDE-207BB0F13886}</c15:txfldGUID>
                      <c15:f>Model!$A$14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2AF-47C3-A8BB-236874F8E115}"/>
                </c:ext>
              </c:extLst>
            </c:dLbl>
            <c:dLbl>
              <c:idx val="5"/>
              <c:tx>
                <c:strRef>
                  <c:f>Model!$A$15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{10780B05-09A3-4DE6-B2C5-1D984E0CC424}</c15:txfldGUID>
                      <c15:f>Model!$A$15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2AF-47C3-A8BB-236874F8E115}"/>
                </c:ext>
              </c:extLst>
            </c:dLbl>
            <c:dLbl>
              <c:idx val="6"/>
              <c:tx>
                <c:strRef>
                  <c:f>Model!$A$16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{6C2937D5-D8E0-44E9-B946-E92AF14BD887}</c15:txfldGUID>
                      <c15:f>Model!$A$16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2AF-47C3-A8BB-236874F8E115}"/>
                </c:ext>
              </c:extLst>
            </c:dLbl>
            <c:dLbl>
              <c:idx val="7"/>
              <c:tx>
                <c:strRef>
                  <c:f>Model!$A$17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{9EE1EBF3-47EE-48D5-B9CE-948B96F3D2E2}</c15:txfldGUID>
                      <c15:f>Model!$A$17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2AF-47C3-A8BB-236874F8E115}"/>
                </c:ext>
              </c:extLst>
            </c:dLbl>
            <c:dLbl>
              <c:idx val="8"/>
              <c:tx>
                <c:strRef>
                  <c:f>Model!$A$18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{B78B4852-78AD-4461-86F8-6F64CAD4AE61}</c15:txfldGUID>
                      <c15:f>Model!$A$18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2AF-47C3-A8BB-236874F8E115}"/>
                </c:ext>
              </c:extLst>
            </c:dLbl>
            <c:dLbl>
              <c:idx val="9"/>
              <c:tx>
                <c:strRef>
                  <c:f>Model!$A$19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{A9D4D63C-9B5D-4D16-926C-0301F3C586FD}</c15:txfldGUID>
                      <c15:f>Model!$A$19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2AF-47C3-A8BB-236874F8E115}"/>
                </c:ext>
              </c:extLst>
            </c:dLbl>
            <c:dLbl>
              <c:idx val="10"/>
              <c:tx>
                <c:strRef>
                  <c:f>Model!$A$20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{1D63AFCF-6D37-43A2-ACB6-495933CF3A28}</c15:txfldGUID>
                      <c15:f>Model!$A$20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E2AF-47C3-A8BB-236874F8E115}"/>
                </c:ext>
              </c:extLst>
            </c:dLbl>
            <c:dLbl>
              <c:idx val="11"/>
              <c:tx>
                <c:strRef>
                  <c:f>Model!$A$21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{40880E0E-1BE8-4EAA-9A03-E6359918B55B}</c15:txfldGUID>
                      <c15:f>Model!$A$21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E2AF-47C3-A8BB-236874F8E115}"/>
                </c:ext>
              </c:extLst>
            </c:dLbl>
            <c:dLbl>
              <c:idx val="12"/>
              <c:tx>
                <c:strRef>
                  <c:f>Model!$A$22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{89F247CA-0E2E-412C-A793-D503FFA0D456}</c15:txfldGUID>
                      <c15:f>Model!$A$22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E2AF-47C3-A8BB-236874F8E115}"/>
                </c:ext>
              </c:extLst>
            </c:dLbl>
            <c:dLbl>
              <c:idx val="13"/>
              <c:tx>
                <c:strRef>
                  <c:f>Model!$A$23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{38286E5D-5978-4D70-A0DC-B1EC226456E1}</c15:txfldGUID>
                      <c15:f>Model!$A$23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E2AF-47C3-A8BB-236874F8E115}"/>
                </c:ext>
              </c:extLst>
            </c:dLbl>
            <c:dLbl>
              <c:idx val="14"/>
              <c:tx>
                <c:strRef>
                  <c:f>Model!$A$24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{A32FD38A-AC6E-4B3B-83F9-B7D72D505228}</c15:txfldGUID>
                      <c15:f>Model!$A$24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E2AF-47C3-A8BB-236874F8E115}"/>
                </c:ext>
              </c:extLst>
            </c:dLbl>
            <c:dLbl>
              <c:idx val="15"/>
              <c:tx>
                <c:strRef>
                  <c:f>Model!$A$25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{2E68FAAB-A03E-4C44-B314-9C7F48436B1D}</c15:txfldGUID>
                      <c15:f>Model!$A$25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E2AF-47C3-A8BB-236874F8E115}"/>
                </c:ext>
              </c:extLst>
            </c:dLbl>
            <c:dLbl>
              <c:idx val="16"/>
              <c:tx>
                <c:strRef>
                  <c:f>Model!$A$26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{05FD1DDF-B3A1-4491-9749-7452DFB01D7A}</c15:txfldGUID>
                      <c15:f>Model!$A$26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2AF-47C3-A8BB-236874F8E115}"/>
                </c:ext>
              </c:extLst>
            </c:dLbl>
            <c:dLbl>
              <c:idx val="17"/>
              <c:tx>
                <c:strRef>
                  <c:f>Model!$A$27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{39562143-0C8B-4A6E-B9E3-3956B8A59BDC}</c15:txfldGUID>
                      <c15:f>Model!$A$27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E2AF-47C3-A8BB-236874F8E115}"/>
                </c:ext>
              </c:extLst>
            </c:dLbl>
            <c:dLbl>
              <c:idx val="18"/>
              <c:tx>
                <c:strRef>
                  <c:f>Model!$A$28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{BCA58AF7-F341-46E1-8C2C-98BC28E3245F}</c15:txfldGUID>
                      <c15:f>Model!$A$28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2AF-47C3-A8BB-236874F8E115}"/>
                </c:ext>
              </c:extLst>
            </c:dLbl>
            <c:dLbl>
              <c:idx val="19"/>
              <c:tx>
                <c:strRef>
                  <c:f>Model!$A$29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{BBEF1BA9-75F2-481D-9E17-3BD152538F4F}</c15:txfldGUID>
                      <c15:f>Model!$A$29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E2AF-47C3-A8BB-236874F8E11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Model!$S$10:$S$29</c:f>
              <c:numCache>
                <c:formatCode>0.00</c:formatCode>
                <c:ptCount val="20"/>
                <c:pt idx="0">
                  <c:v>2.0152216188210197</c:v>
                </c:pt>
                <c:pt idx="1">
                  <c:v>0.66320535053977936</c:v>
                </c:pt>
                <c:pt idx="2">
                  <c:v>1.5721529404313286</c:v>
                </c:pt>
                <c:pt idx="3">
                  <c:v>0.36200227807505492</c:v>
                </c:pt>
                <c:pt idx="4">
                  <c:v>1.9390966274251136</c:v>
                </c:pt>
                <c:pt idx="5">
                  <c:v>8.9149231430262363E-2</c:v>
                </c:pt>
                <c:pt idx="6">
                  <c:v>1.1892019199727735</c:v>
                </c:pt>
                <c:pt idx="7">
                  <c:v>0.92387853062095693</c:v>
                </c:pt>
                <c:pt idx="8">
                  <c:v>1.9084520369084024</c:v>
                </c:pt>
                <c:pt idx="9">
                  <c:v>1.1810101045628105</c:v>
                </c:pt>
                <c:pt idx="10">
                  <c:v>0.37220499297433762</c:v>
                </c:pt>
                <c:pt idx="11">
                  <c:v>0.49007220229020676</c:v>
                </c:pt>
                <c:pt idx="12">
                  <c:v>5.0343365818336059</c:v>
                </c:pt>
                <c:pt idx="13">
                  <c:v>4.6839831968929262E-2</c:v>
                </c:pt>
                <c:pt idx="14">
                  <c:v>1.1418500392332451</c:v>
                </c:pt>
                <c:pt idx="15">
                  <c:v>0.99225201516508599</c:v>
                </c:pt>
                <c:pt idx="16">
                  <c:v>1.5032492417960222</c:v>
                </c:pt>
                <c:pt idx="17">
                  <c:v>0.11385577676991904</c:v>
                </c:pt>
                <c:pt idx="18">
                  <c:v>1.5286483954971217</c:v>
                </c:pt>
                <c:pt idx="19">
                  <c:v>-1.513320427572125</c:v>
                </c:pt>
              </c:numCache>
            </c:numRef>
          </c:xVal>
          <c:yVal>
            <c:numRef>
              <c:f>Model!$O$10:$O$29</c:f>
              <c:numCache>
                <c:formatCode>0.00%</c:formatCode>
                <c:ptCount val="20"/>
                <c:pt idx="0">
                  <c:v>0.19597431805443355</c:v>
                </c:pt>
                <c:pt idx="1">
                  <c:v>6.0000817336158432E-2</c:v>
                </c:pt>
                <c:pt idx="2">
                  <c:v>0.12917385711082793</c:v>
                </c:pt>
                <c:pt idx="3">
                  <c:v>2.3513242574022895E-2</c:v>
                </c:pt>
                <c:pt idx="4">
                  <c:v>0.19666962126167381</c:v>
                </c:pt>
                <c:pt idx="5">
                  <c:v>2.1056228423017076E-2</c:v>
                </c:pt>
                <c:pt idx="6">
                  <c:v>0.17600000000000002</c:v>
                </c:pt>
                <c:pt idx="7">
                  <c:v>0.17865399679844593</c:v>
                </c:pt>
                <c:pt idx="8">
                  <c:v>5.3111787576852192E-2</c:v>
                </c:pt>
                <c:pt idx="9">
                  <c:v>0.14688167430074378</c:v>
                </c:pt>
                <c:pt idx="10">
                  <c:v>-4.6666666666666634E-2</c:v>
                </c:pt>
                <c:pt idx="11">
                  <c:v>-3.4442073799016155E-2</c:v>
                </c:pt>
                <c:pt idx="12">
                  <c:v>0.36270950384903267</c:v>
                </c:pt>
                <c:pt idx="13">
                  <c:v>8.0667607290498614E-2</c:v>
                </c:pt>
                <c:pt idx="14">
                  <c:v>0.11154337890303598</c:v>
                </c:pt>
                <c:pt idx="15">
                  <c:v>1.2914331353617343E-2</c:v>
                </c:pt>
                <c:pt idx="16">
                  <c:v>0.12128831199355575</c:v>
                </c:pt>
                <c:pt idx="17">
                  <c:v>2.1660577776268002E-2</c:v>
                </c:pt>
                <c:pt idx="18">
                  <c:v>0.12889782482240278</c:v>
                </c:pt>
                <c:pt idx="19">
                  <c:v>-3.0960386249755632E-2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AF-47C3-A8BB-236874F8E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99904"/>
        <c:axId val="193501440"/>
      </c:scatterChart>
      <c:valAx>
        <c:axId val="19349990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3501440"/>
        <c:crosses val="autoZero"/>
        <c:crossBetween val="midCat"/>
      </c:valAx>
      <c:valAx>
        <c:axId val="193501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9349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E(r) vs </a:t>
            </a:r>
            <a:r>
              <a:rPr lang="en-US" baseline="0">
                <a:latin typeface="Symbol" pitchFamily="18" charset="2"/>
              </a:rPr>
              <a:t>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Model!$A$10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{81A3D61C-366F-457C-8EDE-97FE0D0E3324}</c15:txfldGUID>
                      <c15:f>Model!$A$10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C11-4B40-B895-CA8B55DA9A4D}"/>
                </c:ext>
              </c:extLst>
            </c:dLbl>
            <c:dLbl>
              <c:idx val="1"/>
              <c:tx>
                <c:strRef>
                  <c:f>Model!$A$11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{294ED031-99BD-4CE9-A746-AB616A17CA69}</c15:txfldGUID>
                      <c15:f>Model!$A$11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C11-4B40-B895-CA8B55DA9A4D}"/>
                </c:ext>
              </c:extLst>
            </c:dLbl>
            <c:dLbl>
              <c:idx val="2"/>
              <c:tx>
                <c:strRef>
                  <c:f>Model!$A$12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{7ADEB021-7721-459B-A486-D47769E241DA}</c15:txfldGUID>
                      <c15:f>Model!$A$12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C11-4B40-B895-CA8B55DA9A4D}"/>
                </c:ext>
              </c:extLst>
            </c:dLbl>
            <c:dLbl>
              <c:idx val="3"/>
              <c:tx>
                <c:strRef>
                  <c:f>Model!$A$13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{E8AC9036-AEA9-458F-8E94-A2E6E8FC8C0A}</c15:txfldGUID>
                      <c15:f>Model!$A$13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C11-4B40-B895-CA8B55DA9A4D}"/>
                </c:ext>
              </c:extLst>
            </c:dLbl>
            <c:dLbl>
              <c:idx val="4"/>
              <c:tx>
                <c:strRef>
                  <c:f>Model!$A$14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{45C999BB-9A9E-4E47-9F0F-B3AABF96758D}</c15:txfldGUID>
                      <c15:f>Model!$A$14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C11-4B40-B895-CA8B55DA9A4D}"/>
                </c:ext>
              </c:extLst>
            </c:dLbl>
            <c:dLbl>
              <c:idx val="5"/>
              <c:tx>
                <c:strRef>
                  <c:f>Model!$A$15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{4999C43E-944C-4DB0-8B4E-7A6638C76E70}</c15:txfldGUID>
                      <c15:f>Model!$A$15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C11-4B40-B895-CA8B55DA9A4D}"/>
                </c:ext>
              </c:extLst>
            </c:dLbl>
            <c:dLbl>
              <c:idx val="6"/>
              <c:tx>
                <c:strRef>
                  <c:f>Model!$A$16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{205D59E4-72EA-4271-86D9-A24187247E35}</c15:txfldGUID>
                      <c15:f>Model!$A$16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C11-4B40-B895-CA8B55DA9A4D}"/>
                </c:ext>
              </c:extLst>
            </c:dLbl>
            <c:dLbl>
              <c:idx val="7"/>
              <c:tx>
                <c:strRef>
                  <c:f>Model!$A$17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{3D77B470-ED74-454F-8E8F-08D4BFE5E6BC}</c15:txfldGUID>
                      <c15:f>Model!$A$17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C11-4B40-B895-CA8B55DA9A4D}"/>
                </c:ext>
              </c:extLst>
            </c:dLbl>
            <c:dLbl>
              <c:idx val="8"/>
              <c:tx>
                <c:strRef>
                  <c:f>Model!$A$18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{8467ED82-0325-452F-98D9-333D88BE7D42}</c15:txfldGUID>
                      <c15:f>Model!$A$18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C11-4B40-B895-CA8B55DA9A4D}"/>
                </c:ext>
              </c:extLst>
            </c:dLbl>
            <c:dLbl>
              <c:idx val="9"/>
              <c:tx>
                <c:strRef>
                  <c:f>Model!$A$19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{6C6CD119-6D70-4D3B-93B9-5E872BC693E9}</c15:txfldGUID>
                      <c15:f>Model!$A$19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C11-4B40-B895-CA8B55DA9A4D}"/>
                </c:ext>
              </c:extLst>
            </c:dLbl>
            <c:dLbl>
              <c:idx val="10"/>
              <c:tx>
                <c:strRef>
                  <c:f>Model!$A$20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{36845834-9EA5-4470-B54D-0EBA10EF00BD}</c15:txfldGUID>
                      <c15:f>Model!$A$20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C11-4B40-B895-CA8B55DA9A4D}"/>
                </c:ext>
              </c:extLst>
            </c:dLbl>
            <c:dLbl>
              <c:idx val="11"/>
              <c:tx>
                <c:strRef>
                  <c:f>Model!$A$21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{58018139-1AB4-46B6-AD9A-B9AF7F9F0FB8}</c15:txfldGUID>
                      <c15:f>Model!$A$21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C11-4B40-B895-CA8B55DA9A4D}"/>
                </c:ext>
              </c:extLst>
            </c:dLbl>
            <c:dLbl>
              <c:idx val="12"/>
              <c:tx>
                <c:strRef>
                  <c:f>Model!$A$22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{B5C94721-1134-404F-8BD9-751025661254}</c15:txfldGUID>
                      <c15:f>Model!$A$22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5C11-4B40-B895-CA8B55DA9A4D}"/>
                </c:ext>
              </c:extLst>
            </c:dLbl>
            <c:dLbl>
              <c:idx val="13"/>
              <c:tx>
                <c:strRef>
                  <c:f>Model!$A$23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{C86053DD-7DFD-4F23-A5A5-143DE5367370}</c15:txfldGUID>
                      <c15:f>Model!$A$23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5C11-4B40-B895-CA8B55DA9A4D}"/>
                </c:ext>
              </c:extLst>
            </c:dLbl>
            <c:dLbl>
              <c:idx val="14"/>
              <c:tx>
                <c:strRef>
                  <c:f>Model!$A$24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{5275E5C9-8500-4794-8F36-FBAF1AE40BD7}</c15:txfldGUID>
                      <c15:f>Model!$A$24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5C11-4B40-B895-CA8B55DA9A4D}"/>
                </c:ext>
              </c:extLst>
            </c:dLbl>
            <c:dLbl>
              <c:idx val="15"/>
              <c:tx>
                <c:strRef>
                  <c:f>Model!$A$25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{9C63B9E2-01D3-4BF8-A1E1-EBF650651258}</c15:txfldGUID>
                      <c15:f>Model!$A$25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5C11-4B40-B895-CA8B55DA9A4D}"/>
                </c:ext>
              </c:extLst>
            </c:dLbl>
            <c:dLbl>
              <c:idx val="16"/>
              <c:tx>
                <c:strRef>
                  <c:f>Model!$A$26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{20F315BB-61D3-4039-971E-D24ED4403BEE}</c15:txfldGUID>
                      <c15:f>Model!$A$26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C11-4B40-B895-CA8B55DA9A4D}"/>
                </c:ext>
              </c:extLst>
            </c:dLbl>
            <c:dLbl>
              <c:idx val="17"/>
              <c:tx>
                <c:strRef>
                  <c:f>Model!$A$27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{2A6A2E13-924E-41F6-8559-7A361B4C1E58}</c15:txfldGUID>
                      <c15:f>Model!$A$27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5C11-4B40-B895-CA8B55DA9A4D}"/>
                </c:ext>
              </c:extLst>
            </c:dLbl>
            <c:dLbl>
              <c:idx val="18"/>
              <c:tx>
                <c:strRef>
                  <c:f>Model!$A$28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{C8D0CF20-5AB1-4BB3-B43C-3B091DBC2B10}</c15:txfldGUID>
                      <c15:f>Model!$A$28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C11-4B40-B895-CA8B55DA9A4D}"/>
                </c:ext>
              </c:extLst>
            </c:dLbl>
            <c:dLbl>
              <c:idx val="19"/>
              <c:tx>
                <c:strRef>
                  <c:f>Model!$A$29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{28C60657-9CC5-4167-988B-9AF4B40480CB}</c15:txfldGUID>
                      <c15:f>Model!$A$29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5C11-4B40-B895-CA8B55DA9A4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Model!$P$10:$P$29</c:f>
              <c:numCache>
                <c:formatCode>0.00%</c:formatCode>
                <c:ptCount val="20"/>
                <c:pt idx="0">
                  <c:v>0.32689809821023996</c:v>
                </c:pt>
                <c:pt idx="1">
                  <c:v>8.6838650533805378E-2</c:v>
                </c:pt>
                <c:pt idx="2">
                  <c:v>0.24936921127820771</c:v>
                </c:pt>
                <c:pt idx="3">
                  <c:v>9.262130835187489E-2</c:v>
                </c:pt>
                <c:pt idx="4">
                  <c:v>0.36964062892385036</c:v>
                </c:pt>
                <c:pt idx="5">
                  <c:v>0.26275106635033135</c:v>
                </c:pt>
                <c:pt idx="6">
                  <c:v>0.18591395859375381</c:v>
                </c:pt>
                <c:pt idx="7">
                  <c:v>0.19287864334050062</c:v>
                </c:pt>
                <c:pt idx="8">
                  <c:v>0.39059745213182873</c:v>
                </c:pt>
                <c:pt idx="9">
                  <c:v>0.19517017440823595</c:v>
                </c:pt>
                <c:pt idx="10">
                  <c:v>9.2472218050131769E-2</c:v>
                </c:pt>
                <c:pt idx="11">
                  <c:v>0.38146705263764413</c:v>
                </c:pt>
                <c:pt idx="12">
                  <c:v>0.83085294977037005</c:v>
                </c:pt>
                <c:pt idx="13">
                  <c:v>0.32598101267990143</c:v>
                </c:pt>
                <c:pt idx="14">
                  <c:v>0.15246219151696844</c:v>
                </c:pt>
                <c:pt idx="15">
                  <c:v>0.31384002691739049</c:v>
                </c:pt>
                <c:pt idx="16">
                  <c:v>0.21926512672137263</c:v>
                </c:pt>
                <c:pt idx="17">
                  <c:v>0.17647804342439022</c:v>
                </c:pt>
                <c:pt idx="18">
                  <c:v>0.29731377782296892</c:v>
                </c:pt>
                <c:pt idx="19">
                  <c:v>0.29807958750905816</c:v>
                </c:pt>
              </c:numCache>
            </c:numRef>
          </c:xVal>
          <c:yVal>
            <c:numRef>
              <c:f>Model!$O$10:$O$29</c:f>
              <c:numCache>
                <c:formatCode>0.00%</c:formatCode>
                <c:ptCount val="20"/>
                <c:pt idx="0">
                  <c:v>0.19597431805443355</c:v>
                </c:pt>
                <c:pt idx="1">
                  <c:v>6.0000817336158432E-2</c:v>
                </c:pt>
                <c:pt idx="2">
                  <c:v>0.12917385711082793</c:v>
                </c:pt>
                <c:pt idx="3">
                  <c:v>2.3513242574022895E-2</c:v>
                </c:pt>
                <c:pt idx="4">
                  <c:v>0.19666962126167381</c:v>
                </c:pt>
                <c:pt idx="5">
                  <c:v>2.1056228423017076E-2</c:v>
                </c:pt>
                <c:pt idx="6">
                  <c:v>0.17600000000000002</c:v>
                </c:pt>
                <c:pt idx="7">
                  <c:v>0.17865399679844593</c:v>
                </c:pt>
                <c:pt idx="8">
                  <c:v>5.3111787576852192E-2</c:v>
                </c:pt>
                <c:pt idx="9">
                  <c:v>0.14688167430074378</c:v>
                </c:pt>
                <c:pt idx="10">
                  <c:v>-4.6666666666666634E-2</c:v>
                </c:pt>
                <c:pt idx="11">
                  <c:v>-3.4442073799016155E-2</c:v>
                </c:pt>
                <c:pt idx="12">
                  <c:v>0.36270950384903267</c:v>
                </c:pt>
                <c:pt idx="13">
                  <c:v>8.0667607290498614E-2</c:v>
                </c:pt>
                <c:pt idx="14">
                  <c:v>0.11154337890303598</c:v>
                </c:pt>
                <c:pt idx="15">
                  <c:v>1.2914331353617343E-2</c:v>
                </c:pt>
                <c:pt idx="16">
                  <c:v>0.12128831199355575</c:v>
                </c:pt>
                <c:pt idx="17">
                  <c:v>2.1660577776268002E-2</c:v>
                </c:pt>
                <c:pt idx="18">
                  <c:v>0.12889782482240278</c:v>
                </c:pt>
                <c:pt idx="19">
                  <c:v>-3.0960386249755632E-2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C11-4B40-B895-CA8B55DA9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1552"/>
        <c:axId val="194125824"/>
      </c:scatterChart>
      <c:valAx>
        <c:axId val="19359155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94125824"/>
        <c:crosses val="autoZero"/>
        <c:crossBetween val="midCat"/>
      </c:valAx>
      <c:valAx>
        <c:axId val="194125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935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32</xdr:row>
      <xdr:rowOff>19050</xdr:rowOff>
    </xdr:from>
    <xdr:to>
      <xdr:col>15</xdr:col>
      <xdr:colOff>57150</xdr:colOff>
      <xdr:row>46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32</xdr:row>
      <xdr:rowOff>9525</xdr:rowOff>
    </xdr:from>
    <xdr:to>
      <xdr:col>7</xdr:col>
      <xdr:colOff>352425</xdr:colOff>
      <xdr:row>46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2</xdr:row>
          <xdr:rowOff>19050</xdr:rowOff>
        </xdr:from>
        <xdr:to>
          <xdr:col>8</xdr:col>
          <xdr:colOff>552450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449580</xdr:colOff>
          <xdr:row>2</xdr:row>
          <xdr:rowOff>19050</xdr:rowOff>
        </xdr:from>
        <xdr:to>
          <xdr:col>7</xdr:col>
          <xdr:colOff>144780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1</xdr:row>
          <xdr:rowOff>49530</xdr:rowOff>
        </xdr:from>
        <xdr:to>
          <xdr:col>22</xdr:col>
          <xdr:colOff>495300</xdr:colOff>
          <xdr:row>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Equilibrium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</xdr:row>
          <xdr:rowOff>30480</xdr:rowOff>
        </xdr:from>
        <xdr:to>
          <xdr:col>5</xdr:col>
          <xdr:colOff>361950</xdr:colOff>
          <xdr:row>4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Perturb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</xdr:row>
          <xdr:rowOff>49530</xdr:rowOff>
        </xdr:from>
        <xdr:to>
          <xdr:col>24</xdr:col>
          <xdr:colOff>563880</xdr:colOff>
          <xdr:row>5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Restore Factory Settings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1"/>
  <sheetViews>
    <sheetView showGridLines="0" workbookViewId="0">
      <selection activeCell="B12" sqref="B12"/>
    </sheetView>
  </sheetViews>
  <sheetFormatPr defaultRowHeight="14.4" x14ac:dyDescent="0.55000000000000004"/>
  <cols>
    <col min="12" max="12" width="18.15625" bestFit="1" customWidth="1"/>
  </cols>
  <sheetData>
    <row r="1" spans="1:9" x14ac:dyDescent="0.55000000000000004">
      <c r="A1" s="48" t="s">
        <v>32</v>
      </c>
      <c r="B1" s="48"/>
      <c r="C1" s="48"/>
      <c r="D1" s="48"/>
      <c r="E1" s="48"/>
      <c r="F1" s="48"/>
      <c r="G1" s="48"/>
      <c r="H1" s="48"/>
      <c r="I1" s="48"/>
    </row>
    <row r="2" spans="1:9" x14ac:dyDescent="0.55000000000000004">
      <c r="A2" s="48" t="s">
        <v>30</v>
      </c>
      <c r="B2" s="48"/>
      <c r="C2" s="48"/>
      <c r="D2" s="48"/>
      <c r="E2" s="48"/>
      <c r="F2" s="48"/>
      <c r="G2" s="48"/>
      <c r="H2" s="48"/>
      <c r="I2" s="48"/>
    </row>
    <row r="3" spans="1:9" x14ac:dyDescent="0.55000000000000004">
      <c r="A3" s="50" t="s">
        <v>94</v>
      </c>
      <c r="B3" s="50"/>
      <c r="C3" s="50"/>
      <c r="D3" s="50"/>
      <c r="E3" s="50"/>
      <c r="F3" s="50"/>
      <c r="G3" s="50"/>
      <c r="H3" s="50"/>
      <c r="I3" s="50"/>
    </row>
    <row r="4" spans="1:9" x14ac:dyDescent="0.55000000000000004">
      <c r="A4" s="15"/>
      <c r="B4" s="15"/>
      <c r="C4" s="15"/>
      <c r="D4" s="15"/>
      <c r="E4" s="15"/>
      <c r="F4" s="15"/>
      <c r="G4" s="15"/>
      <c r="H4" s="15"/>
      <c r="I4" s="15"/>
    </row>
    <row r="5" spans="1:9" x14ac:dyDescent="0.55000000000000004">
      <c r="A5" s="49" t="s">
        <v>31</v>
      </c>
      <c r="B5" s="49"/>
      <c r="C5" s="49"/>
      <c r="D5" s="49"/>
      <c r="E5" s="49"/>
      <c r="F5" s="49"/>
      <c r="G5" s="49"/>
      <c r="H5" s="49"/>
      <c r="I5" s="49"/>
    </row>
    <row r="6" spans="1:9" x14ac:dyDescent="0.55000000000000004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55000000000000004">
      <c r="A7" s="16" t="s">
        <v>46</v>
      </c>
      <c r="B7" s="16"/>
      <c r="C7" s="16"/>
      <c r="D7" s="16"/>
      <c r="E7" s="16"/>
      <c r="F7" s="16"/>
      <c r="G7" s="16"/>
      <c r="H7" s="16"/>
      <c r="I7" s="16"/>
    </row>
    <row r="8" spans="1:9" x14ac:dyDescent="0.55000000000000004">
      <c r="A8" t="s">
        <v>47</v>
      </c>
      <c r="C8" s="16"/>
      <c r="D8" s="16"/>
      <c r="E8" s="16"/>
      <c r="F8" s="16"/>
      <c r="G8" s="16"/>
      <c r="H8" s="16"/>
      <c r="I8" s="16"/>
    </row>
    <row r="9" spans="1:9" x14ac:dyDescent="0.55000000000000004">
      <c r="C9" s="16"/>
      <c r="D9" s="16"/>
      <c r="E9" s="16"/>
      <c r="F9" s="16"/>
      <c r="G9" s="16"/>
      <c r="H9" s="16"/>
      <c r="I9" s="16"/>
    </row>
    <row r="10" spans="1:9" x14ac:dyDescent="0.55000000000000004">
      <c r="A10" s="40" t="s">
        <v>43</v>
      </c>
      <c r="B10" s="16" t="s">
        <v>45</v>
      </c>
      <c r="C10" s="16"/>
      <c r="D10" s="16"/>
      <c r="E10" s="16"/>
      <c r="F10" s="16"/>
      <c r="G10" s="16"/>
      <c r="H10" s="16"/>
      <c r="I10" s="16"/>
    </row>
    <row r="11" spans="1:9" x14ac:dyDescent="0.55000000000000004">
      <c r="A11" s="40" t="s">
        <v>43</v>
      </c>
      <c r="B11" s="16" t="s">
        <v>44</v>
      </c>
      <c r="C11" s="16"/>
      <c r="D11" s="16"/>
      <c r="E11" s="16"/>
      <c r="F11" s="16"/>
      <c r="G11" s="16"/>
      <c r="H11" s="16"/>
      <c r="I11" s="16"/>
    </row>
    <row r="12" spans="1:9" x14ac:dyDescent="0.55000000000000004">
      <c r="A12" s="40" t="s">
        <v>43</v>
      </c>
      <c r="B12" s="16" t="s">
        <v>100</v>
      </c>
      <c r="C12" s="16"/>
      <c r="D12" s="16"/>
      <c r="E12" s="16"/>
      <c r="F12" s="16"/>
      <c r="G12" s="16"/>
      <c r="H12" s="16"/>
      <c r="I12" s="16"/>
    </row>
    <row r="13" spans="1:9" x14ac:dyDescent="0.55000000000000004">
      <c r="A13" s="16"/>
      <c r="C13" s="16"/>
      <c r="D13" s="16"/>
      <c r="E13" s="16"/>
      <c r="F13" s="16"/>
      <c r="G13" s="16"/>
      <c r="H13" s="16"/>
      <c r="I13" s="16"/>
    </row>
    <row r="14" spans="1:9" x14ac:dyDescent="0.55000000000000004">
      <c r="A14" t="s">
        <v>52</v>
      </c>
      <c r="C14" s="16"/>
      <c r="D14" s="16"/>
      <c r="E14" s="16"/>
      <c r="F14" s="16"/>
      <c r="G14" s="16"/>
      <c r="H14" s="16"/>
      <c r="I14" s="16"/>
    </row>
    <row r="15" spans="1:9" x14ac:dyDescent="0.55000000000000004">
      <c r="C15" s="16"/>
      <c r="D15" s="16"/>
      <c r="E15" s="16"/>
      <c r="F15" s="16"/>
      <c r="G15" s="16"/>
      <c r="H15" s="16"/>
      <c r="I15" s="16"/>
    </row>
    <row r="16" spans="1:9" x14ac:dyDescent="0.55000000000000004">
      <c r="A16" s="16" t="s">
        <v>48</v>
      </c>
      <c r="C16" s="16"/>
      <c r="D16" s="16"/>
      <c r="E16" s="16"/>
      <c r="F16" s="16"/>
      <c r="G16" s="16"/>
      <c r="H16" s="16"/>
      <c r="I16" s="16"/>
    </row>
    <row r="17" spans="1:9" x14ac:dyDescent="0.55000000000000004">
      <c r="A17" s="16"/>
      <c r="C17" s="16"/>
      <c r="D17" s="16"/>
      <c r="E17" s="16"/>
      <c r="F17" s="16"/>
      <c r="G17" s="16"/>
      <c r="H17" s="16"/>
      <c r="I17" s="16"/>
    </row>
    <row r="18" spans="1:9" x14ac:dyDescent="0.55000000000000004">
      <c r="A18" s="40" t="s">
        <v>43</v>
      </c>
      <c r="B18" s="16" t="s">
        <v>49</v>
      </c>
      <c r="C18" s="16"/>
      <c r="D18" s="16"/>
      <c r="E18" s="16"/>
      <c r="F18" s="16"/>
      <c r="G18" s="16"/>
      <c r="H18" s="16"/>
      <c r="I18" s="16"/>
    </row>
    <row r="19" spans="1:9" x14ac:dyDescent="0.55000000000000004">
      <c r="A19" s="40" t="s">
        <v>43</v>
      </c>
      <c r="B19" s="16" t="s">
        <v>50</v>
      </c>
      <c r="C19" s="16"/>
      <c r="D19" s="16"/>
      <c r="E19" s="16"/>
      <c r="F19" s="16"/>
      <c r="G19" s="16"/>
      <c r="H19" s="16"/>
      <c r="I19" s="16"/>
    </row>
    <row r="20" spans="1:9" x14ac:dyDescent="0.55000000000000004">
      <c r="A20" s="16"/>
      <c r="B20" s="16"/>
      <c r="C20" s="16"/>
      <c r="D20" s="16"/>
      <c r="E20" s="16"/>
      <c r="F20" s="16"/>
      <c r="G20" s="16"/>
      <c r="H20" s="16"/>
      <c r="I20" s="16"/>
    </row>
    <row r="21" spans="1:9" x14ac:dyDescent="0.55000000000000004">
      <c r="A21" s="16" t="s">
        <v>42</v>
      </c>
      <c r="B21" s="16"/>
      <c r="C21" s="16"/>
      <c r="D21" s="16"/>
      <c r="E21" s="16"/>
      <c r="F21" s="16"/>
      <c r="G21" s="16"/>
      <c r="H21" s="16"/>
      <c r="I21" s="16"/>
    </row>
    <row r="22" spans="1:9" x14ac:dyDescent="0.55000000000000004">
      <c r="C22" s="16"/>
      <c r="D22" s="16"/>
      <c r="E22" s="16"/>
      <c r="F22" s="16"/>
      <c r="G22" s="16"/>
      <c r="H22" s="16"/>
      <c r="I22" s="16"/>
    </row>
    <row r="23" spans="1:9" x14ac:dyDescent="0.55000000000000004">
      <c r="A23" t="s">
        <v>53</v>
      </c>
      <c r="C23" s="16"/>
      <c r="D23" s="16"/>
      <c r="E23" s="16"/>
      <c r="F23" s="16"/>
      <c r="G23" s="16"/>
      <c r="H23" s="16"/>
      <c r="I23" s="16"/>
    </row>
    <row r="24" spans="1:9" x14ac:dyDescent="0.55000000000000004">
      <c r="A24" t="s">
        <v>54</v>
      </c>
      <c r="C24" s="16"/>
      <c r="D24" s="16"/>
      <c r="E24" s="16"/>
      <c r="F24" s="16"/>
      <c r="G24" s="16"/>
      <c r="H24" s="16"/>
      <c r="I24" s="16"/>
    </row>
    <row r="25" spans="1:9" x14ac:dyDescent="0.55000000000000004">
      <c r="A25" t="s">
        <v>55</v>
      </c>
      <c r="C25" s="16"/>
      <c r="D25" s="16"/>
      <c r="E25" s="16"/>
      <c r="F25" s="16"/>
      <c r="G25" s="16"/>
      <c r="H25" s="16"/>
      <c r="I25" s="16"/>
    </row>
    <row r="26" spans="1:9" x14ac:dyDescent="0.55000000000000004">
      <c r="C26" s="16"/>
      <c r="D26" s="16"/>
      <c r="E26" s="16"/>
      <c r="F26" s="16"/>
      <c r="G26" s="16"/>
      <c r="H26" s="16"/>
      <c r="I26" s="16"/>
    </row>
    <row r="27" spans="1:9" x14ac:dyDescent="0.55000000000000004">
      <c r="A27" t="s">
        <v>56</v>
      </c>
      <c r="C27" s="16"/>
      <c r="D27" s="16"/>
      <c r="E27" s="16"/>
      <c r="F27" s="16"/>
      <c r="G27" s="16"/>
      <c r="H27" s="16"/>
      <c r="I27" s="16"/>
    </row>
    <row r="28" spans="1:9" x14ac:dyDescent="0.55000000000000004">
      <c r="A28" t="s">
        <v>57</v>
      </c>
      <c r="C28" s="16"/>
      <c r="D28" s="16"/>
      <c r="E28" s="16"/>
      <c r="F28" s="16"/>
      <c r="G28" s="16"/>
      <c r="H28" s="16"/>
      <c r="I28" s="16"/>
    </row>
    <row r="29" spans="1:9" x14ac:dyDescent="0.55000000000000004">
      <c r="C29" s="16"/>
      <c r="D29" s="16"/>
      <c r="E29" s="16"/>
      <c r="F29" s="16"/>
      <c r="G29" s="16"/>
      <c r="H29" s="16"/>
      <c r="I29" s="16"/>
    </row>
    <row r="30" spans="1:9" x14ac:dyDescent="0.55000000000000004">
      <c r="A30" s="16" t="s">
        <v>51</v>
      </c>
      <c r="B30" s="16"/>
      <c r="C30" s="16"/>
      <c r="D30" s="16"/>
      <c r="E30" s="16"/>
      <c r="F30" s="16"/>
      <c r="G30" s="16"/>
      <c r="H30" s="16"/>
      <c r="I30" s="16"/>
    </row>
    <row r="31" spans="1:9" x14ac:dyDescent="0.55000000000000004">
      <c r="A31" s="16"/>
      <c r="B31" s="16"/>
      <c r="C31" s="16"/>
      <c r="D31" s="16"/>
      <c r="E31" s="16"/>
      <c r="F31" s="16"/>
      <c r="G31" s="16"/>
      <c r="H31" s="16"/>
      <c r="I31" s="16"/>
    </row>
    <row r="32" spans="1:9" x14ac:dyDescent="0.55000000000000004">
      <c r="A32" s="40" t="s">
        <v>43</v>
      </c>
      <c r="B32" s="16" t="s">
        <v>58</v>
      </c>
      <c r="C32" s="16"/>
      <c r="D32" s="16"/>
      <c r="E32" s="16"/>
      <c r="F32" s="16"/>
      <c r="G32" s="16"/>
      <c r="H32" s="16"/>
      <c r="I32" s="16"/>
    </row>
    <row r="33" spans="1:9" x14ac:dyDescent="0.55000000000000004">
      <c r="A33" s="16"/>
      <c r="B33" t="s">
        <v>59</v>
      </c>
      <c r="C33" s="16"/>
      <c r="D33" s="16"/>
      <c r="E33" s="16"/>
      <c r="F33" s="16"/>
      <c r="G33" s="16"/>
      <c r="H33" s="16"/>
      <c r="I33" s="16"/>
    </row>
    <row r="34" spans="1:9" x14ac:dyDescent="0.55000000000000004">
      <c r="A34" s="40" t="s">
        <v>43</v>
      </c>
      <c r="B34" s="16" t="s">
        <v>60</v>
      </c>
      <c r="C34" s="16"/>
      <c r="D34" s="16"/>
      <c r="E34" s="16"/>
      <c r="F34" s="16"/>
      <c r="G34" s="16"/>
      <c r="H34" s="16"/>
      <c r="I34" s="16"/>
    </row>
    <row r="35" spans="1:9" x14ac:dyDescent="0.55000000000000004">
      <c r="A35" s="40"/>
      <c r="B35" s="16" t="s">
        <v>61</v>
      </c>
      <c r="C35" s="16"/>
      <c r="D35" s="16"/>
      <c r="E35" s="16"/>
      <c r="F35" s="16"/>
      <c r="G35" s="16"/>
      <c r="H35" s="16"/>
      <c r="I35" s="16"/>
    </row>
    <row r="36" spans="1:9" x14ac:dyDescent="0.55000000000000004">
      <c r="A36" s="40" t="s">
        <v>43</v>
      </c>
      <c r="B36" s="16" t="s">
        <v>62</v>
      </c>
      <c r="C36" s="16"/>
      <c r="D36" s="16"/>
      <c r="E36" s="16"/>
      <c r="F36" s="16"/>
      <c r="G36" s="16"/>
      <c r="H36" s="16"/>
      <c r="I36" s="16"/>
    </row>
    <row r="37" spans="1:9" x14ac:dyDescent="0.55000000000000004">
      <c r="A37" s="16"/>
      <c r="B37" s="16" t="s">
        <v>63</v>
      </c>
      <c r="C37" s="16"/>
      <c r="D37" s="16"/>
      <c r="E37" s="16"/>
      <c r="F37" s="16"/>
      <c r="G37" s="16"/>
      <c r="H37" s="16"/>
      <c r="I37" s="16"/>
    </row>
    <row r="38" spans="1:9" x14ac:dyDescent="0.55000000000000004">
      <c r="A38" s="40" t="s">
        <v>43</v>
      </c>
      <c r="B38" s="16" t="s">
        <v>64</v>
      </c>
      <c r="C38" s="16"/>
      <c r="D38" s="16"/>
      <c r="E38" s="16"/>
      <c r="F38" s="16"/>
      <c r="G38" s="16"/>
      <c r="H38" s="16"/>
      <c r="I38" s="16"/>
    </row>
    <row r="39" spans="1:9" x14ac:dyDescent="0.55000000000000004">
      <c r="A39" s="16"/>
      <c r="B39" s="16" t="s">
        <v>65</v>
      </c>
      <c r="C39" s="16"/>
      <c r="D39" s="16"/>
      <c r="E39" s="16"/>
      <c r="F39" s="16"/>
      <c r="G39" s="16"/>
      <c r="H39" s="16"/>
      <c r="I39" s="16"/>
    </row>
    <row r="40" spans="1:9" x14ac:dyDescent="0.55000000000000004">
      <c r="A40" s="40" t="s">
        <v>43</v>
      </c>
      <c r="B40" s="16" t="s">
        <v>66</v>
      </c>
      <c r="C40" s="16"/>
      <c r="D40" s="16"/>
      <c r="E40" s="16"/>
      <c r="F40" s="16"/>
      <c r="G40" s="16"/>
      <c r="H40" s="16"/>
      <c r="I40" s="16"/>
    </row>
    <row r="41" spans="1:9" x14ac:dyDescent="0.55000000000000004">
      <c r="A41" s="16"/>
      <c r="B41" s="16" t="s">
        <v>67</v>
      </c>
      <c r="C41" s="16"/>
      <c r="D41" s="16"/>
      <c r="E41" s="16"/>
      <c r="F41" s="16"/>
      <c r="G41" s="16"/>
      <c r="H41" s="16"/>
      <c r="I41" s="16"/>
    </row>
    <row r="42" spans="1:9" x14ac:dyDescent="0.55000000000000004">
      <c r="A42" s="40" t="s">
        <v>43</v>
      </c>
      <c r="B42" s="16" t="s">
        <v>68</v>
      </c>
      <c r="C42" s="16"/>
      <c r="D42" s="16"/>
      <c r="E42" s="16"/>
      <c r="F42" s="16"/>
      <c r="G42" s="16"/>
      <c r="H42" s="16"/>
      <c r="I42" s="16"/>
    </row>
    <row r="43" spans="1:9" x14ac:dyDescent="0.55000000000000004">
      <c r="B43" s="16" t="s">
        <v>69</v>
      </c>
      <c r="C43" s="16"/>
      <c r="D43" s="16"/>
      <c r="E43" s="16"/>
      <c r="F43" s="16"/>
      <c r="G43" s="16"/>
      <c r="H43" s="16"/>
      <c r="I43" s="16"/>
    </row>
    <row r="44" spans="1:9" x14ac:dyDescent="0.55000000000000004">
      <c r="A44" s="40" t="s">
        <v>43</v>
      </c>
      <c r="B44" t="s">
        <v>70</v>
      </c>
      <c r="C44" s="16"/>
      <c r="D44" s="16"/>
      <c r="E44" s="16"/>
      <c r="F44" s="16"/>
      <c r="G44" s="16"/>
      <c r="H44" s="16"/>
      <c r="I44" s="16"/>
    </row>
    <row r="45" spans="1:9" x14ac:dyDescent="0.55000000000000004">
      <c r="B45" s="16" t="s">
        <v>71</v>
      </c>
      <c r="C45" s="16"/>
      <c r="D45" s="16"/>
      <c r="E45" s="16"/>
      <c r="F45" s="16"/>
      <c r="G45" s="16"/>
      <c r="H45" s="16"/>
      <c r="I45" s="16"/>
    </row>
    <row r="46" spans="1:9" x14ac:dyDescent="0.55000000000000004">
      <c r="A46" s="40" t="s">
        <v>43</v>
      </c>
      <c r="B46" t="s">
        <v>72</v>
      </c>
      <c r="C46" s="16"/>
      <c r="D46" s="16"/>
      <c r="E46" s="16"/>
      <c r="F46" s="16"/>
      <c r="G46" s="16"/>
      <c r="H46" s="16"/>
      <c r="I46" s="16"/>
    </row>
    <row r="47" spans="1:9" x14ac:dyDescent="0.55000000000000004">
      <c r="B47" s="16" t="s">
        <v>73</v>
      </c>
      <c r="C47" s="16"/>
      <c r="D47" s="16"/>
      <c r="E47" s="16"/>
      <c r="F47" s="16"/>
      <c r="G47" s="16"/>
      <c r="H47" s="16"/>
      <c r="I47" s="16"/>
    </row>
    <row r="48" spans="1:9" x14ac:dyDescent="0.55000000000000004">
      <c r="A48" s="16"/>
      <c r="B48" s="16" t="s">
        <v>74</v>
      </c>
      <c r="C48" s="16"/>
      <c r="D48" s="16"/>
      <c r="E48" s="16"/>
      <c r="F48" s="16"/>
      <c r="G48" s="16"/>
      <c r="H48" s="16"/>
      <c r="I48" s="16"/>
    </row>
    <row r="49" spans="1:9" x14ac:dyDescent="0.55000000000000004">
      <c r="A49" s="40" t="s">
        <v>43</v>
      </c>
      <c r="B49" t="s">
        <v>75</v>
      </c>
      <c r="C49" s="16"/>
      <c r="D49" s="16"/>
      <c r="E49" s="16"/>
      <c r="F49" s="16"/>
      <c r="G49" s="16"/>
      <c r="H49" s="16"/>
      <c r="I49" s="16"/>
    </row>
    <row r="50" spans="1:9" x14ac:dyDescent="0.55000000000000004">
      <c r="A50" s="16"/>
      <c r="B50" s="16" t="s">
        <v>76</v>
      </c>
      <c r="C50" s="16"/>
      <c r="D50" s="16"/>
      <c r="E50" s="16"/>
      <c r="F50" s="16"/>
      <c r="G50" s="16"/>
      <c r="H50" s="16"/>
      <c r="I50" s="16"/>
    </row>
    <row r="51" spans="1:9" x14ac:dyDescent="0.55000000000000004">
      <c r="C51" s="16"/>
      <c r="D51" s="16"/>
      <c r="E51" s="16"/>
      <c r="F51" s="16"/>
      <c r="G51" s="16"/>
      <c r="H51" s="16"/>
      <c r="I51" s="16"/>
    </row>
    <row r="52" spans="1:9" x14ac:dyDescent="0.55000000000000004">
      <c r="A52" s="16" t="s">
        <v>77</v>
      </c>
    </row>
    <row r="54" spans="1:9" x14ac:dyDescent="0.55000000000000004">
      <c r="A54" t="s">
        <v>90</v>
      </c>
    </row>
    <row r="56" spans="1:9" x14ac:dyDescent="0.55000000000000004">
      <c r="A56" t="s">
        <v>78</v>
      </c>
    </row>
    <row r="58" spans="1:9" x14ac:dyDescent="0.55000000000000004">
      <c r="A58" s="40" t="s">
        <v>43</v>
      </c>
      <c r="B58" t="s">
        <v>82</v>
      </c>
    </row>
    <row r="59" spans="1:9" x14ac:dyDescent="0.55000000000000004">
      <c r="B59" t="s">
        <v>79</v>
      </c>
    </row>
    <row r="60" spans="1:9" x14ac:dyDescent="0.55000000000000004">
      <c r="A60" s="40" t="s">
        <v>43</v>
      </c>
      <c r="B60" t="s">
        <v>80</v>
      </c>
    </row>
    <row r="61" spans="1:9" x14ac:dyDescent="0.55000000000000004">
      <c r="B61" t="s">
        <v>91</v>
      </c>
    </row>
    <row r="62" spans="1:9" x14ac:dyDescent="0.55000000000000004">
      <c r="B62" t="s">
        <v>92</v>
      </c>
    </row>
    <row r="63" spans="1:9" x14ac:dyDescent="0.55000000000000004">
      <c r="B63" t="s">
        <v>93</v>
      </c>
    </row>
    <row r="64" spans="1:9" x14ac:dyDescent="0.55000000000000004">
      <c r="A64" s="40" t="s">
        <v>43</v>
      </c>
      <c r="B64" t="s">
        <v>83</v>
      </c>
    </row>
    <row r="65" spans="1:2" x14ac:dyDescent="0.55000000000000004">
      <c r="B65" t="s">
        <v>84</v>
      </c>
    </row>
    <row r="66" spans="1:2" x14ac:dyDescent="0.55000000000000004">
      <c r="B66" t="s">
        <v>81</v>
      </c>
    </row>
    <row r="67" spans="1:2" x14ac:dyDescent="0.55000000000000004">
      <c r="A67" s="40" t="s">
        <v>43</v>
      </c>
      <c r="B67" t="s">
        <v>85</v>
      </c>
    </row>
    <row r="68" spans="1:2" x14ac:dyDescent="0.55000000000000004">
      <c r="B68" t="s">
        <v>86</v>
      </c>
    </row>
    <row r="69" spans="1:2" x14ac:dyDescent="0.55000000000000004">
      <c r="A69" s="40" t="s">
        <v>43</v>
      </c>
      <c r="B69" t="s">
        <v>87</v>
      </c>
    </row>
    <row r="70" spans="1:2" x14ac:dyDescent="0.55000000000000004">
      <c r="A70" s="40" t="s">
        <v>43</v>
      </c>
      <c r="B70" t="s">
        <v>88</v>
      </c>
    </row>
    <row r="71" spans="1:2" x14ac:dyDescent="0.55000000000000004">
      <c r="B71" t="s">
        <v>89</v>
      </c>
    </row>
  </sheetData>
  <mergeCells count="4">
    <mergeCell ref="A1:I1"/>
    <mergeCell ref="A2:I2"/>
    <mergeCell ref="A5:I5"/>
    <mergeCell ref="A3: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32"/>
  <sheetViews>
    <sheetView showGridLines="0" tabSelected="1" workbookViewId="0">
      <selection activeCell="AC18" sqref="AC18"/>
    </sheetView>
  </sheetViews>
  <sheetFormatPr defaultRowHeight="14.4" x14ac:dyDescent="0.55000000000000004"/>
  <cols>
    <col min="1" max="1" width="9.83984375" customWidth="1"/>
    <col min="2" max="2" width="10.578125" customWidth="1"/>
    <col min="16" max="17" width="9.15625" customWidth="1"/>
    <col min="19" max="19" width="9.15625" customWidth="1"/>
    <col min="20" max="20" width="10.15625" bestFit="1" customWidth="1"/>
    <col min="22" max="22" width="10.15625" customWidth="1"/>
    <col min="53" max="53" width="12.578125" bestFit="1" customWidth="1"/>
  </cols>
  <sheetData>
    <row r="1" spans="1:62" x14ac:dyDescent="0.55000000000000004">
      <c r="F1" s="60" t="str">
        <f>IF(MSEAlpha&gt;0.0001,"Disequilibrium","Equilibrium")</f>
        <v>Disequilibrium</v>
      </c>
      <c r="G1" s="61"/>
      <c r="H1" s="62"/>
      <c r="K1" s="51" t="s">
        <v>19</v>
      </c>
      <c r="L1" s="52"/>
      <c r="M1" s="52"/>
      <c r="N1" s="52"/>
      <c r="O1" s="52"/>
      <c r="P1" s="52"/>
      <c r="Q1" s="52"/>
      <c r="R1" s="52"/>
      <c r="S1" s="52"/>
      <c r="T1" s="52"/>
      <c r="U1" s="53"/>
    </row>
    <row r="2" spans="1:62" x14ac:dyDescent="0.55000000000000004">
      <c r="A2" s="54" t="s">
        <v>29</v>
      </c>
      <c r="B2" s="54"/>
      <c r="C2" s="54"/>
      <c r="D2" s="17">
        <v>0.01</v>
      </c>
      <c r="K2" s="25"/>
      <c r="L2" s="8"/>
      <c r="M2" s="8"/>
      <c r="N2" s="8"/>
      <c r="O2" s="8"/>
      <c r="P2" s="8"/>
      <c r="Q2" s="8"/>
      <c r="R2" s="8"/>
      <c r="S2" s="8"/>
      <c r="T2" s="8"/>
      <c r="U2" s="26"/>
    </row>
    <row r="3" spans="1:62" ht="14.7" x14ac:dyDescent="0.55000000000000004">
      <c r="A3" s="54" t="s">
        <v>35</v>
      </c>
      <c r="B3" s="54"/>
      <c r="C3" s="54"/>
      <c r="D3" s="18">
        <v>6.5000000000000002E-2</v>
      </c>
      <c r="K3" s="25"/>
      <c r="L3" s="9" t="s">
        <v>12</v>
      </c>
      <c r="M3" s="12">
        <f>SUMPRODUCT(W10:W29,R10:R29,R10:R29)</f>
        <v>3.0317760208534951E-3</v>
      </c>
      <c r="N3" s="8"/>
      <c r="O3" s="9" t="s">
        <v>27</v>
      </c>
      <c r="P3" s="13" t="str">
        <f>IF(SumProbabilities&lt;&gt;1,"State probabilities don't add up to 100%.","State probabilities add up to 100%.")</f>
        <v>State probabilities add up to 100%.</v>
      </c>
      <c r="Q3" s="13"/>
      <c r="R3" s="13"/>
      <c r="S3" s="14"/>
      <c r="T3" s="8"/>
      <c r="U3" s="26"/>
      <c r="AG3" s="32" t="s">
        <v>33</v>
      </c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4"/>
      <c r="BD3" s="41"/>
      <c r="BE3" s="33"/>
      <c r="BF3" s="41"/>
      <c r="BG3" s="33"/>
      <c r="BH3" s="33"/>
      <c r="BI3" s="33"/>
      <c r="BJ3" s="34"/>
    </row>
    <row r="4" spans="1:62" x14ac:dyDescent="0.55000000000000004">
      <c r="A4" s="54" t="s">
        <v>36</v>
      </c>
      <c r="B4" s="54"/>
      <c r="C4" s="54"/>
      <c r="D4" s="46">
        <v>7.4999999999999997E-2</v>
      </c>
      <c r="K4" s="25"/>
      <c r="L4" s="9" t="s">
        <v>11</v>
      </c>
      <c r="M4" s="12">
        <f>AG31-D2</f>
        <v>7.3011342409961627E-2</v>
      </c>
      <c r="N4" s="8"/>
      <c r="O4" s="9" t="s">
        <v>28</v>
      </c>
      <c r="P4" s="24" t="str">
        <f>IF(MaxMRP&gt;=MinMRP,"Max MRP &gt;= Min MRP.","Max MRP &lt; Min MRP.")</f>
        <v>Max MRP &gt;= Min MRP.</v>
      </c>
      <c r="Q4" s="13"/>
      <c r="R4" s="13"/>
      <c r="S4" s="14"/>
      <c r="T4" s="8"/>
      <c r="U4" s="26"/>
      <c r="AG4" s="25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26"/>
    </row>
    <row r="5" spans="1:62" ht="14.7" x14ac:dyDescent="0.55000000000000004">
      <c r="A5" s="54" t="s">
        <v>99</v>
      </c>
      <c r="B5" s="54"/>
      <c r="C5" s="54"/>
      <c r="D5" s="47">
        <v>0.2</v>
      </c>
      <c r="K5" s="25"/>
      <c r="L5" s="9" t="s">
        <v>37</v>
      </c>
      <c r="M5" s="37">
        <f>SUM(E8:I8)</f>
        <v>1.0000000000000002</v>
      </c>
      <c r="N5" s="8"/>
      <c r="O5" s="9" t="s">
        <v>40</v>
      </c>
      <c r="P5" s="24" t="str">
        <f>IF(OR(MRP&lt;D3,MRP&gt;D4),"Market Risk Premium out of range.","Market Risk Premium in range.")</f>
        <v>Market Risk Premium in range.</v>
      </c>
      <c r="Q5" s="13"/>
      <c r="R5" s="13"/>
      <c r="S5" s="14"/>
      <c r="T5" s="8"/>
      <c r="U5" s="26"/>
      <c r="AG5" s="25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26"/>
    </row>
    <row r="6" spans="1:62" x14ac:dyDescent="0.55000000000000004">
      <c r="E6" s="63" t="s">
        <v>18</v>
      </c>
      <c r="F6" s="63"/>
      <c r="G6" s="63"/>
      <c r="H6" s="63"/>
      <c r="I6" s="63"/>
      <c r="K6" s="29"/>
      <c r="L6" s="30"/>
      <c r="M6" s="30"/>
      <c r="N6" s="30"/>
      <c r="O6" s="30"/>
      <c r="P6" s="30"/>
      <c r="Q6" s="30"/>
      <c r="R6" s="30"/>
      <c r="S6" s="30"/>
      <c r="T6" s="30"/>
      <c r="U6" s="31"/>
      <c r="AG6" s="25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26"/>
    </row>
    <row r="7" spans="1:62" x14ac:dyDescent="0.55000000000000004">
      <c r="E7" s="10" t="s">
        <v>13</v>
      </c>
      <c r="F7" s="10" t="s">
        <v>14</v>
      </c>
      <c r="G7" s="10" t="s">
        <v>15</v>
      </c>
      <c r="H7" s="10" t="s">
        <v>16</v>
      </c>
      <c r="I7" s="10" t="s">
        <v>17</v>
      </c>
      <c r="AG7" s="25"/>
      <c r="AH7" s="8"/>
      <c r="AI7" s="8"/>
      <c r="AJ7" s="8"/>
      <c r="AK7" s="10" t="str">
        <f>E7</f>
        <v>State 1</v>
      </c>
      <c r="AL7" s="10" t="str">
        <f>F7</f>
        <v>State 2</v>
      </c>
      <c r="AM7" s="10" t="str">
        <f>G7</f>
        <v>State 3</v>
      </c>
      <c r="AN7" s="10" t="str">
        <f>H7</f>
        <v>State 4</v>
      </c>
      <c r="AO7" s="10" t="str">
        <f>I7</f>
        <v>State 5</v>
      </c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42" t="s">
        <v>95</v>
      </c>
      <c r="BH7" s="8"/>
      <c r="BI7" s="42" t="s">
        <v>97</v>
      </c>
      <c r="BJ7" s="26"/>
    </row>
    <row r="8" spans="1:62" x14ac:dyDescent="0.55000000000000004">
      <c r="E8" s="22">
        <v>0.1</v>
      </c>
      <c r="F8" s="22">
        <v>0.2</v>
      </c>
      <c r="G8" s="22">
        <v>0.4</v>
      </c>
      <c r="H8" s="22">
        <v>0.2</v>
      </c>
      <c r="I8" s="22">
        <v>0.1</v>
      </c>
      <c r="K8" s="58" t="s">
        <v>8</v>
      </c>
      <c r="L8" s="58"/>
      <c r="M8" s="58"/>
      <c r="V8" s="59" t="s">
        <v>25</v>
      </c>
      <c r="W8" s="59"/>
      <c r="AG8" s="25"/>
      <c r="AH8" s="8"/>
      <c r="AI8" s="8"/>
      <c r="AJ8" s="8"/>
      <c r="AK8" s="27"/>
      <c r="AL8" s="27"/>
      <c r="AM8" s="27"/>
      <c r="AN8" s="27"/>
      <c r="AO8" s="27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42" t="s">
        <v>98</v>
      </c>
      <c r="BD8" s="8"/>
      <c r="BE8" s="42" t="s">
        <v>96</v>
      </c>
      <c r="BF8" s="8"/>
      <c r="BG8" s="42" t="s">
        <v>96</v>
      </c>
      <c r="BH8" s="8"/>
      <c r="BI8" s="42" t="s">
        <v>96</v>
      </c>
      <c r="BJ8" s="26"/>
    </row>
    <row r="9" spans="1:62" ht="16.8" x14ac:dyDescent="0.75">
      <c r="A9" s="38" t="s">
        <v>0</v>
      </c>
      <c r="B9" s="10" t="s">
        <v>41</v>
      </c>
      <c r="C9" s="10" t="s">
        <v>1</v>
      </c>
      <c r="D9" s="1"/>
      <c r="E9" s="55" t="s">
        <v>26</v>
      </c>
      <c r="F9" s="56"/>
      <c r="G9" s="56"/>
      <c r="H9" s="56"/>
      <c r="I9" s="57"/>
      <c r="K9" s="10" t="s">
        <v>20</v>
      </c>
      <c r="L9" s="10" t="s">
        <v>38</v>
      </c>
      <c r="M9" s="10" t="s">
        <v>39</v>
      </c>
      <c r="O9" s="10" t="s">
        <v>4</v>
      </c>
      <c r="P9" s="11" t="s">
        <v>5</v>
      </c>
      <c r="R9" s="11" t="s">
        <v>9</v>
      </c>
      <c r="S9" s="11" t="s">
        <v>2</v>
      </c>
      <c r="T9" s="10" t="s">
        <v>21</v>
      </c>
      <c r="V9" s="10" t="s">
        <v>23</v>
      </c>
      <c r="W9" s="10" t="s">
        <v>24</v>
      </c>
      <c r="AG9" s="10" t="s">
        <v>3</v>
      </c>
      <c r="AI9" s="10" t="s">
        <v>7</v>
      </c>
      <c r="AJ9" s="8"/>
      <c r="AK9" s="55" t="s">
        <v>22</v>
      </c>
      <c r="AL9" s="56"/>
      <c r="AM9" s="56"/>
      <c r="AN9" s="56"/>
      <c r="AO9" s="57"/>
      <c r="AP9" s="8"/>
      <c r="AQ9" s="55" t="s">
        <v>10</v>
      </c>
      <c r="AR9" s="56"/>
      <c r="AS9" s="56"/>
      <c r="AT9" s="56"/>
      <c r="AU9" s="57"/>
      <c r="AV9" s="8"/>
      <c r="AW9" s="55" t="s">
        <v>34</v>
      </c>
      <c r="AX9" s="56"/>
      <c r="AY9" s="56"/>
      <c r="AZ9" s="56"/>
      <c r="BA9" s="57"/>
      <c r="BB9" s="8"/>
      <c r="BC9" s="42" t="s">
        <v>7</v>
      </c>
      <c r="BD9" s="8"/>
      <c r="BE9" s="42" t="s">
        <v>7</v>
      </c>
      <c r="BF9" s="8"/>
      <c r="BG9" s="42" t="s">
        <v>7</v>
      </c>
      <c r="BH9" s="44"/>
      <c r="BI9" s="42" t="s">
        <v>7</v>
      </c>
      <c r="BJ9" s="26"/>
    </row>
    <row r="10" spans="1:62" x14ac:dyDescent="0.55000000000000004">
      <c r="A10" s="36">
        <v>1</v>
      </c>
      <c r="B10" s="23">
        <v>44.817015876389789</v>
      </c>
      <c r="C10" s="19">
        <v>20</v>
      </c>
      <c r="E10" s="23">
        <v>35</v>
      </c>
      <c r="F10" s="23">
        <v>39</v>
      </c>
      <c r="G10" s="23">
        <v>50</v>
      </c>
      <c r="H10" s="23">
        <v>72</v>
      </c>
      <c r="I10" s="23">
        <v>79</v>
      </c>
      <c r="K10" s="6">
        <f t="shared" ref="K10:K25" si="0">SUMPRODUCT($E$8:$I$8,E10:I10)</f>
        <v>53.6</v>
      </c>
      <c r="L10" s="6">
        <f t="shared" ref="L10:L25" si="1">MIN(E10:I10)</f>
        <v>35</v>
      </c>
      <c r="M10" s="6">
        <f t="shared" ref="M10:M25" si="2">MAX(E10:I10)</f>
        <v>79</v>
      </c>
      <c r="O10" s="2">
        <f t="shared" ref="O10:O29" si="3">SUMPRODUCT($E$8:$I$8,AK10:AO10)</f>
        <v>0.19597431805443355</v>
      </c>
      <c r="P10" s="2">
        <f t="shared" ref="P10:P29" si="4">SQRT(SUMPRODUCT($E$8:$I$8,AQ10:AU10))</f>
        <v>0.32689809821023996</v>
      </c>
      <c r="R10" s="12">
        <f t="shared" ref="R10:R29" si="5">O10-AG10</f>
        <v>3.8840282410734894E-2</v>
      </c>
      <c r="S10" s="7">
        <f t="shared" ref="S10:S29" si="6">SUMPRODUCT($E$8:$I$8,AW10:BA10)/$P$31^2</f>
        <v>2.0152216188210197</v>
      </c>
      <c r="T10" s="2">
        <f t="shared" ref="T10:T29" si="7">SQRT(P10^2-S10^2*$P$31^2)</f>
        <v>0.19645684712236766</v>
      </c>
      <c r="V10" s="6">
        <f t="shared" ref="V10:V29" si="8">B10*C10</f>
        <v>896.34031752779583</v>
      </c>
      <c r="W10" s="2">
        <f t="shared" ref="W10:W29" si="9">V10/$V$31</f>
        <v>6.8169459034420107E-2</v>
      </c>
      <c r="AF10" s="4"/>
      <c r="AG10" s="2">
        <f t="shared" ref="AG10:AG29" si="10">$D$2+S10*($O$31-$D$2)</f>
        <v>0.15713403564369866</v>
      </c>
      <c r="AI10" s="6">
        <f t="shared" ref="AI10:AI29" si="11">K10/(1+AG10)</f>
        <v>46.321340785886584</v>
      </c>
      <c r="AJ10" s="8"/>
      <c r="AK10" s="2">
        <f t="shared" ref="AK10:AK29" si="12">E10/$B10-1</f>
        <v>-0.21904662067341096</v>
      </c>
      <c r="AL10" s="2">
        <f t="shared" ref="AL10:AL29" si="13">F10/$B10-1</f>
        <v>-0.12979480589322934</v>
      </c>
      <c r="AM10" s="2">
        <f t="shared" ref="AM10:AM29" si="14">G10/$B10-1</f>
        <v>0.11564768475227005</v>
      </c>
      <c r="AN10" s="2">
        <f t="shared" ref="AN10:AN29" si="15">H10/$B10-1</f>
        <v>0.60653266604326905</v>
      </c>
      <c r="AO10" s="2">
        <f t="shared" ref="AO10:AO29" si="16">I10/$B10-1</f>
        <v>0.76272334190858682</v>
      </c>
      <c r="AP10" s="28"/>
      <c r="AQ10" s="5">
        <f t="shared" ref="AQ10:AQ29" si="17">(AK10-$O10)^2</f>
        <v>0.17224237958254127</v>
      </c>
      <c r="AR10" s="5">
        <f t="shared" ref="AR10:AR29" si="18">(AL10-$O10)^2</f>
        <v>0.10612552211762774</v>
      </c>
      <c r="AS10" s="5">
        <f t="shared" ref="AS10:AS29" si="19">(AM10-$O10)^2</f>
        <v>6.4523680176602422E-3</v>
      </c>
      <c r="AT10" s="5">
        <f t="shared" ref="AT10:AT29" si="20">(AN10-$O10)^2</f>
        <v>0.16855815710332175</v>
      </c>
      <c r="AU10" s="5">
        <f t="shared" ref="AU10:AU29" si="21">(AO10-$O10)^2</f>
        <v>0.3212044560396356</v>
      </c>
      <c r="AV10" s="8"/>
      <c r="AW10" s="5">
        <f t="shared" ref="AW10:AW29" si="22">(AK10-$O10)*(AK$31-$O$31)</f>
        <v>6.7457787042443984E-2</v>
      </c>
      <c r="AX10" s="5">
        <f t="shared" ref="AX10:AX29" si="23">(AL10-$O10)*(AL$31-$O$31)</f>
        <v>6.8237374729461328E-2</v>
      </c>
      <c r="AY10" s="5">
        <f t="shared" ref="AY10:AY29" si="24">(AM10-$O10)*(AM$31-$O$31)</f>
        <v>-5.1976132668953073E-3</v>
      </c>
      <c r="AZ10" s="5">
        <f t="shared" ref="AZ10:AZ29" si="25">(AN10-$O10)*(AN$31-$O$31)</f>
        <v>3.5807952403734349E-2</v>
      </c>
      <c r="BA10" s="5">
        <f t="shared" ref="BA10:BA29" si="26">(AO10-$O10)*(AO$31-$O$31)</f>
        <v>8.3999164791617523E-2</v>
      </c>
      <c r="BB10" s="8"/>
      <c r="BC10" s="6">
        <f t="shared" ref="BC10:BC29" si="27">K10/(1+Rf+MRP)</f>
        <v>49.491633098437418</v>
      </c>
      <c r="BD10" s="43"/>
      <c r="BE10" s="6">
        <v>43.21</v>
      </c>
      <c r="BF10" s="43"/>
      <c r="BG10" s="6">
        <v>43.21</v>
      </c>
      <c r="BH10" s="45"/>
      <c r="BI10" s="6">
        <f t="shared" ref="BI10:BI29" si="28">BG10+AdjSpeed*(AI10-BE10)</f>
        <v>43.832268157177317</v>
      </c>
      <c r="BJ10" s="26"/>
    </row>
    <row r="11" spans="1:62" x14ac:dyDescent="0.55000000000000004">
      <c r="A11" s="36">
        <v>2</v>
      </c>
      <c r="B11" s="23">
        <v>42.169778804825462</v>
      </c>
      <c r="C11" s="20">
        <v>22</v>
      </c>
      <c r="D11" s="4"/>
      <c r="E11" s="23">
        <v>40</v>
      </c>
      <c r="F11" s="23">
        <v>39</v>
      </c>
      <c r="G11" s="23">
        <v>46</v>
      </c>
      <c r="H11" s="23">
        <v>48</v>
      </c>
      <c r="I11" s="23">
        <v>49</v>
      </c>
      <c r="K11" s="6">
        <f t="shared" si="0"/>
        <v>44.7</v>
      </c>
      <c r="L11" s="6">
        <f t="shared" si="1"/>
        <v>39</v>
      </c>
      <c r="M11" s="6">
        <f t="shared" si="2"/>
        <v>49</v>
      </c>
      <c r="O11" s="2">
        <f t="shared" si="3"/>
        <v>6.0000817336158432E-2</v>
      </c>
      <c r="P11" s="2">
        <f t="shared" si="4"/>
        <v>8.6838650533805378E-2</v>
      </c>
      <c r="R11" s="12">
        <f t="shared" si="5"/>
        <v>1.5793043997799697E-3</v>
      </c>
      <c r="S11" s="7">
        <f t="shared" si="6"/>
        <v>0.66320535053977936</v>
      </c>
      <c r="T11" s="2">
        <f t="shared" si="7"/>
        <v>1.2134796955784531E-2</v>
      </c>
      <c r="V11" s="6">
        <f t="shared" si="8"/>
        <v>927.73513370616013</v>
      </c>
      <c r="W11" s="2">
        <f t="shared" si="9"/>
        <v>7.0557132101795872E-2</v>
      </c>
      <c r="AF11" s="4"/>
      <c r="AG11" s="2">
        <f t="shared" si="10"/>
        <v>5.8421512936378463E-2</v>
      </c>
      <c r="AI11" s="6">
        <f t="shared" si="11"/>
        <v>42.232701672879649</v>
      </c>
      <c r="AJ11" s="8"/>
      <c r="AK11" s="2">
        <f t="shared" si="12"/>
        <v>-5.1453407305451115E-2</v>
      </c>
      <c r="AL11" s="2">
        <f t="shared" si="13"/>
        <v>-7.5167072122814815E-2</v>
      </c>
      <c r="AM11" s="2">
        <f t="shared" si="14"/>
        <v>9.0828581598731306E-2</v>
      </c>
      <c r="AN11" s="2">
        <f t="shared" si="15"/>
        <v>0.13825591123345871</v>
      </c>
      <c r="AO11" s="2">
        <f t="shared" si="16"/>
        <v>0.16196957605082241</v>
      </c>
      <c r="AP11" s="28"/>
      <c r="AQ11" s="5">
        <f t="shared" si="17"/>
        <v>1.2422044190462365E-2</v>
      </c>
      <c r="AR11" s="5">
        <f t="shared" si="18"/>
        <v>1.8270358340793207E-2</v>
      </c>
      <c r="AS11" s="5">
        <f t="shared" si="19"/>
        <v>9.5035104942876522E-4</v>
      </c>
      <c r="AT11" s="5">
        <f t="shared" si="20"/>
        <v>6.1238597208752828E-3</v>
      </c>
      <c r="AU11" s="5">
        <f t="shared" si="21"/>
        <v>1.039762775380936E-2</v>
      </c>
      <c r="AV11" s="8"/>
      <c r="AW11" s="5">
        <f t="shared" si="22"/>
        <v>1.8115845850815583E-2</v>
      </c>
      <c r="AX11" s="5">
        <f t="shared" si="23"/>
        <v>2.8313002204236465E-2</v>
      </c>
      <c r="AY11" s="5">
        <f t="shared" si="24"/>
        <v>1.9947405976437726E-3</v>
      </c>
      <c r="AZ11" s="5">
        <f t="shared" si="25"/>
        <v>6.8252288410428101E-3</v>
      </c>
      <c r="BA11" s="5">
        <f t="shared" si="26"/>
        <v>1.5113022178003661E-2</v>
      </c>
      <c r="BB11" s="8"/>
      <c r="BC11" s="6">
        <f t="shared" si="27"/>
        <v>41.273805960823744</v>
      </c>
      <c r="BD11" s="43"/>
      <c r="BE11" s="6">
        <v>41.54</v>
      </c>
      <c r="BF11" s="43"/>
      <c r="BG11" s="6">
        <v>41.54</v>
      </c>
      <c r="BH11" s="45"/>
      <c r="BI11" s="6">
        <f t="shared" si="28"/>
        <v>41.678540334575928</v>
      </c>
      <c r="BJ11" s="26"/>
    </row>
    <row r="12" spans="1:62" x14ac:dyDescent="0.55000000000000004">
      <c r="A12" s="36">
        <v>3</v>
      </c>
      <c r="B12" s="23">
        <v>10.184436991327971</v>
      </c>
      <c r="C12" s="20">
        <v>18</v>
      </c>
      <c r="D12" s="4"/>
      <c r="E12" s="23">
        <v>6</v>
      </c>
      <c r="F12" s="23">
        <v>9</v>
      </c>
      <c r="G12" s="23">
        <v>13</v>
      </c>
      <c r="H12" s="23">
        <v>14</v>
      </c>
      <c r="I12" s="23">
        <v>11</v>
      </c>
      <c r="K12" s="6">
        <f t="shared" si="0"/>
        <v>11.5</v>
      </c>
      <c r="L12" s="6">
        <f t="shared" si="1"/>
        <v>6</v>
      </c>
      <c r="M12" s="6">
        <f t="shared" si="2"/>
        <v>14</v>
      </c>
      <c r="O12" s="2">
        <f t="shared" si="3"/>
        <v>0.12917385711082793</v>
      </c>
      <c r="P12" s="2">
        <f t="shared" si="4"/>
        <v>0.24936921127820771</v>
      </c>
      <c r="R12" s="12">
        <f t="shared" si="5"/>
        <v>4.3888604561682087E-3</v>
      </c>
      <c r="S12" s="7">
        <f t="shared" si="6"/>
        <v>1.5721529404313286</v>
      </c>
      <c r="T12" s="2">
        <f t="shared" si="7"/>
        <v>0.14365414534251883</v>
      </c>
      <c r="V12" s="6">
        <f t="shared" si="8"/>
        <v>183.31986584390347</v>
      </c>
      <c r="W12" s="2">
        <f t="shared" si="9"/>
        <v>1.3942043931828199E-2</v>
      </c>
      <c r="AF12" s="4"/>
      <c r="AG12" s="2">
        <f t="shared" si="10"/>
        <v>0.12478499665465972</v>
      </c>
      <c r="AI12" s="6">
        <f t="shared" si="11"/>
        <v>10.22417620630018</v>
      </c>
      <c r="AJ12" s="8"/>
      <c r="AK12" s="2">
        <f t="shared" si="12"/>
        <v>-0.41086581368130715</v>
      </c>
      <c r="AL12" s="2">
        <f t="shared" si="13"/>
        <v>-0.11629872052196077</v>
      </c>
      <c r="AM12" s="2">
        <f t="shared" si="14"/>
        <v>0.2764574036905012</v>
      </c>
      <c r="AN12" s="2">
        <f t="shared" si="15"/>
        <v>0.37464643474361647</v>
      </c>
      <c r="AO12" s="2">
        <f t="shared" si="16"/>
        <v>8.0079341584270214E-2</v>
      </c>
      <c r="AP12" s="28"/>
      <c r="AQ12" s="5">
        <f t="shared" si="17"/>
        <v>0.29164284602927765</v>
      </c>
      <c r="AR12" s="5">
        <f t="shared" si="18"/>
        <v>6.0256786369685476E-2</v>
      </c>
      <c r="AS12" s="5">
        <f t="shared" si="19"/>
        <v>2.1692443093086787E-2</v>
      </c>
      <c r="AT12" s="5">
        <f t="shared" si="20"/>
        <v>6.02567863696854E-2</v>
      </c>
      <c r="AU12" s="5">
        <f t="shared" si="21"/>
        <v>2.4102714547874168E-3</v>
      </c>
      <c r="AV12" s="8"/>
      <c r="AW12" s="5">
        <f t="shared" si="22"/>
        <v>8.7778417200913297E-2</v>
      </c>
      <c r="AX12" s="5">
        <f t="shared" si="23"/>
        <v>5.1418022870781517E-2</v>
      </c>
      <c r="AY12" s="5">
        <f t="shared" si="24"/>
        <v>9.5301257407147469E-3</v>
      </c>
      <c r="AZ12" s="5">
        <f t="shared" si="25"/>
        <v>2.1409552185103552E-2</v>
      </c>
      <c r="BA12" s="5">
        <f t="shared" si="26"/>
        <v>-7.2764100624921188E-3</v>
      </c>
      <c r="BB12" s="8"/>
      <c r="BC12" s="6">
        <f t="shared" si="27"/>
        <v>10.618540683433402</v>
      </c>
      <c r="BD12" s="43"/>
      <c r="BE12" s="6">
        <v>9.9600000000000009</v>
      </c>
      <c r="BF12" s="43"/>
      <c r="BG12" s="6">
        <v>9.99</v>
      </c>
      <c r="BH12" s="45"/>
      <c r="BI12" s="6">
        <f t="shared" si="28"/>
        <v>10.042835241260036</v>
      </c>
      <c r="BJ12" s="26"/>
    </row>
    <row r="13" spans="1:62" x14ac:dyDescent="0.55000000000000004">
      <c r="A13" s="36">
        <v>4</v>
      </c>
      <c r="B13" s="23">
        <v>51.880129920409587</v>
      </c>
      <c r="C13" s="20">
        <v>12</v>
      </c>
      <c r="D13" s="4"/>
      <c r="E13" s="23">
        <v>44</v>
      </c>
      <c r="F13" s="23">
        <v>53</v>
      </c>
      <c r="G13" s="23">
        <v>52</v>
      </c>
      <c r="H13" s="23">
        <v>54</v>
      </c>
      <c r="I13" s="23">
        <v>65</v>
      </c>
      <c r="K13" s="6">
        <f t="shared" si="0"/>
        <v>53.100000000000009</v>
      </c>
      <c r="L13" s="6">
        <f t="shared" si="1"/>
        <v>44</v>
      </c>
      <c r="M13" s="6">
        <f t="shared" si="2"/>
        <v>65</v>
      </c>
      <c r="O13" s="2">
        <f t="shared" si="3"/>
        <v>2.3513242574022895E-2</v>
      </c>
      <c r="P13" s="2">
        <f t="shared" si="4"/>
        <v>9.262130835187489E-2</v>
      </c>
      <c r="R13" s="12">
        <f t="shared" si="5"/>
        <v>-1.2917029703701087E-2</v>
      </c>
      <c r="S13" s="7">
        <f t="shared" si="6"/>
        <v>0.36200227807505492</v>
      </c>
      <c r="T13" s="2">
        <f t="shared" si="7"/>
        <v>7.9848856016287356E-2</v>
      </c>
      <c r="V13" s="6">
        <f t="shared" si="8"/>
        <v>622.56155904491504</v>
      </c>
      <c r="W13" s="2">
        <f t="shared" si="9"/>
        <v>4.7347735972393078E-2</v>
      </c>
      <c r="AF13" s="4"/>
      <c r="AG13" s="2">
        <f t="shared" si="10"/>
        <v>3.6430272277723982E-2</v>
      </c>
      <c r="AI13" s="6">
        <f t="shared" si="11"/>
        <v>51.233547900240438</v>
      </c>
      <c r="AJ13" s="8"/>
      <c r="AK13" s="2">
        <f t="shared" si="12"/>
        <v>-0.15189109843207138</v>
      </c>
      <c r="AL13" s="2">
        <f t="shared" si="13"/>
        <v>2.1585722343186786E-2</v>
      </c>
      <c r="AM13" s="2">
        <f t="shared" si="14"/>
        <v>2.3105200348245702E-3</v>
      </c>
      <c r="AN13" s="2">
        <f t="shared" si="15"/>
        <v>4.086092465154878E-2</v>
      </c>
      <c r="AO13" s="2">
        <f t="shared" si="16"/>
        <v>0.25288815004353093</v>
      </c>
      <c r="AP13" s="28"/>
      <c r="AQ13" s="5">
        <f t="shared" si="17"/>
        <v>3.0766682843782207E-2</v>
      </c>
      <c r="AR13" s="5">
        <f t="shared" si="18"/>
        <v>3.7153342402824875E-6</v>
      </c>
      <c r="AS13" s="5">
        <f t="shared" si="19"/>
        <v>4.4955544307422865E-4</v>
      </c>
      <c r="AT13" s="5">
        <f t="shared" si="20"/>
        <v>3.0094207346291279E-4</v>
      </c>
      <c r="AU13" s="5">
        <f t="shared" si="21"/>
        <v>5.2612848176645369E-2</v>
      </c>
      <c r="AV13" s="8"/>
      <c r="AW13" s="5">
        <f t="shared" si="22"/>
        <v>2.8510341473803515E-2</v>
      </c>
      <c r="AX13" s="5">
        <f t="shared" si="23"/>
        <v>4.037488841677716E-4</v>
      </c>
      <c r="AY13" s="5">
        <f t="shared" si="24"/>
        <v>-1.3719428716685576E-3</v>
      </c>
      <c r="AZ13" s="5">
        <f t="shared" si="25"/>
        <v>1.5130248287243558E-3</v>
      </c>
      <c r="BA13" s="5">
        <f t="shared" si="26"/>
        <v>3.3996177921166493E-2</v>
      </c>
      <c r="BB13" s="8"/>
      <c r="BC13" s="6">
        <f t="shared" si="27"/>
        <v>49.029957416549017</v>
      </c>
      <c r="BD13" s="43"/>
      <c r="BE13" s="6">
        <v>51.37</v>
      </c>
      <c r="BF13" s="43"/>
      <c r="BG13" s="6">
        <v>51.34</v>
      </c>
      <c r="BH13" s="45"/>
      <c r="BI13" s="6">
        <f t="shared" si="28"/>
        <v>51.312709580048093</v>
      </c>
      <c r="BJ13" s="26"/>
    </row>
    <row r="14" spans="1:62" x14ac:dyDescent="0.55000000000000004">
      <c r="A14" s="36">
        <v>5</v>
      </c>
      <c r="B14" s="23">
        <v>23.147575160130923</v>
      </c>
      <c r="C14" s="20">
        <v>15</v>
      </c>
      <c r="D14" s="4"/>
      <c r="E14" s="23">
        <v>22</v>
      </c>
      <c r="F14" s="23">
        <v>18</v>
      </c>
      <c r="G14" s="23">
        <v>34</v>
      </c>
      <c r="H14" s="23">
        <v>20</v>
      </c>
      <c r="I14" s="23">
        <v>43</v>
      </c>
      <c r="K14" s="6">
        <f t="shared" si="0"/>
        <v>27.700000000000003</v>
      </c>
      <c r="L14" s="6">
        <f t="shared" si="1"/>
        <v>18</v>
      </c>
      <c r="M14" s="6">
        <f t="shared" si="2"/>
        <v>43</v>
      </c>
      <c r="O14" s="2">
        <f t="shared" si="3"/>
        <v>0.19666962126167381</v>
      </c>
      <c r="P14" s="2">
        <f t="shared" si="4"/>
        <v>0.36964062892385036</v>
      </c>
      <c r="R14" s="12">
        <f t="shared" si="5"/>
        <v>4.5093573430737055E-2</v>
      </c>
      <c r="S14" s="7">
        <f t="shared" si="6"/>
        <v>1.9390966274251136</v>
      </c>
      <c r="T14" s="2">
        <f t="shared" si="7"/>
        <v>0.27097469265740043</v>
      </c>
      <c r="V14" s="6">
        <f t="shared" si="8"/>
        <v>347.21362740196383</v>
      </c>
      <c r="W14" s="2">
        <f t="shared" si="9"/>
        <v>2.6406672428451357E-2</v>
      </c>
      <c r="AF14" s="4"/>
      <c r="AG14" s="2">
        <f t="shared" si="10"/>
        <v>0.15157604783093676</v>
      </c>
      <c r="AI14" s="6">
        <f t="shared" si="11"/>
        <v>24.053991095225218</v>
      </c>
      <c r="AJ14" s="8"/>
      <c r="AK14" s="2">
        <f t="shared" si="12"/>
        <v>-4.9576474088201317E-2</v>
      </c>
      <c r="AL14" s="2">
        <f t="shared" si="13"/>
        <v>-0.22238075152671022</v>
      </c>
      <c r="AM14" s="2">
        <f t="shared" si="14"/>
        <v>0.46883635822732517</v>
      </c>
      <c r="AN14" s="2">
        <f t="shared" si="15"/>
        <v>-0.13597861280745571</v>
      </c>
      <c r="AO14" s="2">
        <f t="shared" si="16"/>
        <v>0.85764598246397017</v>
      </c>
      <c r="AP14" s="28"/>
      <c r="AQ14" s="5">
        <f t="shared" si="17"/>
        <v>6.063713947505979E-2</v>
      </c>
      <c r="AR14" s="5">
        <f t="shared" si="18"/>
        <v>0.17560321493408362</v>
      </c>
      <c r="AS14" s="5">
        <f t="shared" si="19"/>
        <v>7.4074732710530056E-2</v>
      </c>
      <c r="AT14" s="5">
        <f t="shared" si="20"/>
        <v>0.11065484762931038</v>
      </c>
      <c r="AU14" s="5">
        <f t="shared" si="21"/>
        <v>0.43688975006822844</v>
      </c>
      <c r="AV14" s="8"/>
      <c r="AW14" s="5">
        <f t="shared" si="22"/>
        <v>4.0025008644294591E-2</v>
      </c>
      <c r="AX14" s="5">
        <f t="shared" si="23"/>
        <v>8.7776573089460116E-2</v>
      </c>
      <c r="AY14" s="5">
        <f t="shared" si="24"/>
        <v>1.7610814554357451E-2</v>
      </c>
      <c r="AZ14" s="5">
        <f t="shared" si="25"/>
        <v>-2.9012811920846843E-2</v>
      </c>
      <c r="BA14" s="5">
        <f t="shared" si="26"/>
        <v>9.7964813261475048E-2</v>
      </c>
      <c r="BB14" s="8"/>
      <c r="BC14" s="6">
        <f t="shared" si="27"/>
        <v>25.576832776617849</v>
      </c>
      <c r="BD14" s="43"/>
      <c r="BE14" s="6">
        <v>22.1</v>
      </c>
      <c r="BF14" s="43"/>
      <c r="BG14" s="6">
        <v>22.04</v>
      </c>
      <c r="BH14" s="45"/>
      <c r="BI14" s="6">
        <f t="shared" si="28"/>
        <v>22.430798219045041</v>
      </c>
      <c r="BJ14" s="26"/>
    </row>
    <row r="15" spans="1:62" x14ac:dyDescent="0.55000000000000004">
      <c r="A15" s="36">
        <v>6</v>
      </c>
      <c r="B15" s="23">
        <v>27.128770413341101</v>
      </c>
      <c r="C15" s="20">
        <v>23</v>
      </c>
      <c r="D15" s="4"/>
      <c r="E15" s="23">
        <v>32</v>
      </c>
      <c r="F15" s="23">
        <v>28</v>
      </c>
      <c r="G15" s="23">
        <v>21</v>
      </c>
      <c r="H15" s="23">
        <v>30</v>
      </c>
      <c r="I15" s="23">
        <v>45</v>
      </c>
      <c r="K15" s="6">
        <f t="shared" si="0"/>
        <v>27.700000000000003</v>
      </c>
      <c r="L15" s="6">
        <f t="shared" si="1"/>
        <v>21</v>
      </c>
      <c r="M15" s="6">
        <f t="shared" si="2"/>
        <v>45</v>
      </c>
      <c r="O15" s="2">
        <f t="shared" si="3"/>
        <v>2.1056228423017076E-2</v>
      </c>
      <c r="P15" s="2">
        <f t="shared" si="4"/>
        <v>0.26275106635033135</v>
      </c>
      <c r="R15" s="12">
        <f t="shared" si="5"/>
        <v>4.5473233614772776E-3</v>
      </c>
      <c r="S15" s="7">
        <f t="shared" si="6"/>
        <v>8.9149231430262363E-2</v>
      </c>
      <c r="T15" s="2">
        <f t="shared" si="7"/>
        <v>0.26249671348039927</v>
      </c>
      <c r="V15" s="6">
        <f t="shared" si="8"/>
        <v>623.96171950684538</v>
      </c>
      <c r="W15" s="2">
        <f t="shared" si="9"/>
        <v>4.7454222514819767E-2</v>
      </c>
      <c r="AF15" s="4"/>
      <c r="AG15" s="2">
        <f t="shared" si="10"/>
        <v>1.6508905061539798E-2</v>
      </c>
      <c r="AI15" s="6">
        <f t="shared" si="11"/>
        <v>27.250130187814765</v>
      </c>
      <c r="AJ15" s="8"/>
      <c r="AK15" s="2">
        <f t="shared" si="12"/>
        <v>0.17955954186052514</v>
      </c>
      <c r="AL15" s="2">
        <f t="shared" si="13"/>
        <v>3.2114599127959442E-2</v>
      </c>
      <c r="AM15" s="2">
        <f t="shared" si="14"/>
        <v>-0.22591405065403036</v>
      </c>
      <c r="AN15" s="2">
        <f t="shared" si="15"/>
        <v>0.1058370704942424</v>
      </c>
      <c r="AO15" s="2">
        <f t="shared" si="16"/>
        <v>0.65875560574136349</v>
      </c>
      <c r="AP15" s="28"/>
      <c r="AQ15" s="5">
        <f t="shared" si="17"/>
        <v>2.5123300370668924E-2</v>
      </c>
      <c r="AR15" s="5">
        <f t="shared" si="18"/>
        <v>1.2228756264792752E-4</v>
      </c>
      <c r="AS15" s="5">
        <f t="shared" si="19"/>
        <v>6.0994318747394694E-2</v>
      </c>
      <c r="AT15" s="5">
        <f t="shared" si="20"/>
        <v>7.1877911823060503E-3</v>
      </c>
      <c r="AU15" s="5">
        <f t="shared" si="21"/>
        <v>0.4066604958322067</v>
      </c>
      <c r="AV15" s="8"/>
      <c r="AW15" s="5">
        <f t="shared" si="22"/>
        <v>-2.5763236901164582E-2</v>
      </c>
      <c r="AX15" s="5">
        <f t="shared" si="23"/>
        <v>-2.3163465479671443E-3</v>
      </c>
      <c r="AY15" s="5">
        <f t="shared" si="24"/>
        <v>-1.5980453136022629E-2</v>
      </c>
      <c r="AZ15" s="5">
        <f t="shared" si="25"/>
        <v>7.3943895490282659E-3</v>
      </c>
      <c r="BA15" s="5">
        <f t="shared" si="26"/>
        <v>9.4514878417612136E-2</v>
      </c>
      <c r="BB15" s="8"/>
      <c r="BC15" s="6">
        <f t="shared" si="27"/>
        <v>25.576832776617849</v>
      </c>
      <c r="BD15" s="43"/>
      <c r="BE15" s="6">
        <v>27.01</v>
      </c>
      <c r="BF15" s="43"/>
      <c r="BG15" s="6">
        <v>27.01</v>
      </c>
      <c r="BH15" s="45"/>
      <c r="BI15" s="6">
        <f t="shared" si="28"/>
        <v>27.058026037562954</v>
      </c>
      <c r="BJ15" s="26"/>
    </row>
    <row r="16" spans="1:62" x14ac:dyDescent="0.55000000000000004">
      <c r="A16" s="36">
        <v>7</v>
      </c>
      <c r="B16" s="23">
        <v>200</v>
      </c>
      <c r="C16" s="20">
        <v>5</v>
      </c>
      <c r="D16" s="4"/>
      <c r="E16" s="23">
        <v>177</v>
      </c>
      <c r="F16" s="23">
        <v>188</v>
      </c>
      <c r="G16" s="23">
        <v>273</v>
      </c>
      <c r="H16" s="23">
        <v>229</v>
      </c>
      <c r="I16" s="23">
        <v>249</v>
      </c>
      <c r="K16" s="6">
        <f t="shared" si="0"/>
        <v>235.20000000000002</v>
      </c>
      <c r="L16" s="6">
        <f t="shared" si="1"/>
        <v>177</v>
      </c>
      <c r="M16" s="6">
        <f t="shared" si="2"/>
        <v>273</v>
      </c>
      <c r="O16" s="2">
        <f t="shared" si="3"/>
        <v>0.17600000000000002</v>
      </c>
      <c r="P16" s="2">
        <f t="shared" si="4"/>
        <v>0.18591395859375381</v>
      </c>
      <c r="R16" s="12">
        <f t="shared" si="5"/>
        <v>7.9174771426284068E-2</v>
      </c>
      <c r="S16" s="7">
        <f t="shared" si="6"/>
        <v>1.1892019199727735</v>
      </c>
      <c r="T16" s="2">
        <f t="shared" si="7"/>
        <v>0.10388161568531692</v>
      </c>
      <c r="V16" s="6">
        <f t="shared" si="8"/>
        <v>1000</v>
      </c>
      <c r="W16" s="2">
        <f t="shared" si="9"/>
        <v>7.6053099142565514E-2</v>
      </c>
      <c r="AF16" s="4"/>
      <c r="AG16" s="2">
        <f t="shared" si="10"/>
        <v>9.6825228573715949E-2</v>
      </c>
      <c r="AI16" s="6">
        <f t="shared" si="11"/>
        <v>214.43708065126128</v>
      </c>
      <c r="AJ16" s="8"/>
      <c r="AK16" s="2">
        <f t="shared" si="12"/>
        <v>-0.11499999999999999</v>
      </c>
      <c r="AL16" s="2">
        <f t="shared" si="13"/>
        <v>-6.0000000000000053E-2</v>
      </c>
      <c r="AM16" s="2">
        <f t="shared" si="14"/>
        <v>0.36499999999999999</v>
      </c>
      <c r="AN16" s="2">
        <f t="shared" si="15"/>
        <v>0.14500000000000002</v>
      </c>
      <c r="AO16" s="2">
        <f t="shared" si="16"/>
        <v>0.24500000000000011</v>
      </c>
      <c r="AP16" s="28"/>
      <c r="AQ16" s="5">
        <f t="shared" si="17"/>
        <v>8.468100000000002E-2</v>
      </c>
      <c r="AR16" s="5">
        <f t="shared" si="18"/>
        <v>5.569600000000003E-2</v>
      </c>
      <c r="AS16" s="5">
        <f t="shared" si="19"/>
        <v>3.5720999999999989E-2</v>
      </c>
      <c r="AT16" s="5">
        <f t="shared" si="20"/>
        <v>9.6099999999999994E-4</v>
      </c>
      <c r="AU16" s="5">
        <f t="shared" si="21"/>
        <v>4.7610000000000126E-3</v>
      </c>
      <c r="AV16" s="8"/>
      <c r="AW16" s="5">
        <f t="shared" si="22"/>
        <v>4.7299338894859898E-2</v>
      </c>
      <c r="AX16" s="5">
        <f t="shared" si="23"/>
        <v>4.943384517539514E-2</v>
      </c>
      <c r="AY16" s="5">
        <f t="shared" si="24"/>
        <v>1.2229429605843504E-2</v>
      </c>
      <c r="AZ16" s="5">
        <f t="shared" si="25"/>
        <v>-2.7037485169975179E-3</v>
      </c>
      <c r="BA16" s="5">
        <f t="shared" si="26"/>
        <v>1.0226647293023198E-2</v>
      </c>
      <c r="BB16" s="8"/>
      <c r="BC16" s="6">
        <f t="shared" si="27"/>
        <v>217.17224076030749</v>
      </c>
      <c r="BD16" s="43"/>
      <c r="BE16" s="6">
        <v>210.31</v>
      </c>
      <c r="BF16" s="43"/>
      <c r="BG16" s="6">
        <v>210.29</v>
      </c>
      <c r="BH16" s="45"/>
      <c r="BI16" s="6">
        <f t="shared" si="28"/>
        <v>211.11541613025224</v>
      </c>
      <c r="BJ16" s="26"/>
    </row>
    <row r="17" spans="1:62" x14ac:dyDescent="0.55000000000000004">
      <c r="A17" s="36">
        <v>8</v>
      </c>
      <c r="B17" s="23">
        <v>18.410831388128553</v>
      </c>
      <c r="C17" s="20">
        <v>12</v>
      </c>
      <c r="D17" s="4"/>
      <c r="E17" s="23">
        <v>15</v>
      </c>
      <c r="F17" s="23">
        <v>20</v>
      </c>
      <c r="G17" s="23">
        <v>24</v>
      </c>
      <c r="H17" s="23">
        <v>19</v>
      </c>
      <c r="I17" s="23">
        <v>28</v>
      </c>
      <c r="K17" s="6">
        <f t="shared" si="0"/>
        <v>21.700000000000003</v>
      </c>
      <c r="L17" s="6">
        <f t="shared" si="1"/>
        <v>15</v>
      </c>
      <c r="M17" s="6">
        <f t="shared" si="2"/>
        <v>28</v>
      </c>
      <c r="O17" s="2">
        <f t="shared" si="3"/>
        <v>0.17865399679844593</v>
      </c>
      <c r="P17" s="2">
        <f t="shared" si="4"/>
        <v>0.19287864334050062</v>
      </c>
      <c r="R17" s="12">
        <f t="shared" si="5"/>
        <v>0.10120038505406703</v>
      </c>
      <c r="S17" s="7">
        <f t="shared" si="6"/>
        <v>0.92387853062095693</v>
      </c>
      <c r="T17" s="2">
        <f t="shared" si="7"/>
        <v>0.15117551883517896</v>
      </c>
      <c r="V17" s="6">
        <f t="shared" si="8"/>
        <v>220.92997665754262</v>
      </c>
      <c r="W17" s="2">
        <f t="shared" si="9"/>
        <v>1.6802409418300773E-2</v>
      </c>
      <c r="AF17" s="4"/>
      <c r="AG17" s="2">
        <f t="shared" si="10"/>
        <v>7.7453611744378897E-2</v>
      </c>
      <c r="AI17" s="6">
        <f t="shared" si="11"/>
        <v>20.140078202409175</v>
      </c>
      <c r="AJ17" s="8"/>
      <c r="AK17" s="2">
        <f t="shared" si="12"/>
        <v>-0.18526221419462263</v>
      </c>
      <c r="AL17" s="2">
        <f t="shared" si="13"/>
        <v>8.6317047740503083E-2</v>
      </c>
      <c r="AM17" s="2">
        <f t="shared" si="14"/>
        <v>0.30358045728860383</v>
      </c>
      <c r="AN17" s="2">
        <f t="shared" si="15"/>
        <v>3.2001195353478007E-2</v>
      </c>
      <c r="AO17" s="2">
        <f t="shared" si="16"/>
        <v>0.52084386683670436</v>
      </c>
      <c r="AP17" s="28"/>
      <c r="AQ17" s="5">
        <f t="shared" si="17"/>
        <v>0.13243500862355162</v>
      </c>
      <c r="AR17" s="5">
        <f t="shared" si="18"/>
        <v>8.526112161329133E-3</v>
      </c>
      <c r="AS17" s="5">
        <f t="shared" si="19"/>
        <v>1.5606620530598983E-2</v>
      </c>
      <c r="AT17" s="5">
        <f t="shared" si="20"/>
        <v>2.1507044171657184E-2</v>
      </c>
      <c r="AU17" s="5">
        <f t="shared" si="21"/>
        <v>0.11709390715680018</v>
      </c>
      <c r="AV17" s="8"/>
      <c r="AW17" s="5">
        <f t="shared" si="22"/>
        <v>5.9151189666991372E-2</v>
      </c>
      <c r="AX17" s="5">
        <f t="shared" si="23"/>
        <v>1.9341400185163955E-2</v>
      </c>
      <c r="AY17" s="5">
        <f t="shared" si="24"/>
        <v>8.0834886479977559E-3</v>
      </c>
      <c r="AZ17" s="5">
        <f t="shared" si="25"/>
        <v>-1.2790719174850433E-2</v>
      </c>
      <c r="BA17" s="5">
        <f t="shared" si="26"/>
        <v>5.0716740697488563E-2</v>
      </c>
      <c r="BB17" s="8"/>
      <c r="BC17" s="6">
        <f t="shared" si="27"/>
        <v>20.036724593956944</v>
      </c>
      <c r="BD17" s="43"/>
      <c r="BE17" s="6">
        <v>17.96</v>
      </c>
      <c r="BF17" s="43"/>
      <c r="BG17" s="6">
        <v>17.96</v>
      </c>
      <c r="BH17" s="45"/>
      <c r="BI17" s="6">
        <f t="shared" si="28"/>
        <v>18.396015640481835</v>
      </c>
      <c r="BJ17" s="26"/>
    </row>
    <row r="18" spans="1:62" x14ac:dyDescent="0.55000000000000004">
      <c r="A18" s="36">
        <v>9</v>
      </c>
      <c r="B18" s="23">
        <v>21.175339848119048</v>
      </c>
      <c r="C18" s="20">
        <v>45</v>
      </c>
      <c r="D18" s="4"/>
      <c r="E18" s="23">
        <v>23</v>
      </c>
      <c r="F18" s="23">
        <v>9</v>
      </c>
      <c r="G18" s="23">
        <v>31</v>
      </c>
      <c r="H18" s="23">
        <v>19</v>
      </c>
      <c r="I18" s="23">
        <v>20</v>
      </c>
      <c r="K18" s="6">
        <f t="shared" si="0"/>
        <v>22.3</v>
      </c>
      <c r="L18" s="6">
        <f t="shared" si="1"/>
        <v>9</v>
      </c>
      <c r="M18" s="6">
        <f t="shared" si="2"/>
        <v>31</v>
      </c>
      <c r="O18" s="2">
        <f t="shared" si="3"/>
        <v>5.3111787576852192E-2</v>
      </c>
      <c r="P18" s="2">
        <f t="shared" si="4"/>
        <v>0.39059745213182873</v>
      </c>
      <c r="R18" s="12">
        <f t="shared" si="5"/>
        <v>-9.62268575628559E-2</v>
      </c>
      <c r="S18" s="7">
        <f t="shared" si="6"/>
        <v>1.9084520369084024</v>
      </c>
      <c r="T18" s="2">
        <f t="shared" si="7"/>
        <v>0.30222749529938087</v>
      </c>
      <c r="V18" s="6">
        <f t="shared" si="8"/>
        <v>952.89029316535721</v>
      </c>
      <c r="W18" s="2">
        <f t="shared" si="9"/>
        <v>7.2470259938093223E-2</v>
      </c>
      <c r="AF18" s="4"/>
      <c r="AG18" s="2">
        <f t="shared" si="10"/>
        <v>0.1493386451397081</v>
      </c>
      <c r="AI18" s="6">
        <f t="shared" si="11"/>
        <v>19.402462532954612</v>
      </c>
      <c r="AJ18" s="8"/>
      <c r="AK18" s="2">
        <f t="shared" si="12"/>
        <v>8.6169108263121075E-2</v>
      </c>
      <c r="AL18" s="2">
        <f t="shared" si="13"/>
        <v>-0.57497730546225689</v>
      </c>
      <c r="AM18" s="2">
        <f t="shared" si="14"/>
        <v>0.46396705896333712</v>
      </c>
      <c r="AN18" s="2">
        <f t="shared" si="15"/>
        <v>-0.10272986708698695</v>
      </c>
      <c r="AO18" s="2">
        <f t="shared" si="16"/>
        <v>-5.5505123249459887E-2</v>
      </c>
      <c r="AP18" s="28"/>
      <c r="AQ18" s="5">
        <f t="shared" si="17"/>
        <v>1.0927864509548207E-3</v>
      </c>
      <c r="AR18" s="5">
        <f t="shared" si="18"/>
        <v>0.39449590879469065</v>
      </c>
      <c r="AS18" s="5">
        <f t="shared" si="19"/>
        <v>0.16880205402606219</v>
      </c>
      <c r="AT18" s="5">
        <f t="shared" si="20"/>
        <v>2.4286621328363296E-2</v>
      </c>
      <c r="AU18" s="5">
        <f t="shared" si="21"/>
        <v>1.1797633317451031E-2</v>
      </c>
      <c r="AV18" s="8"/>
      <c r="AW18" s="5">
        <f t="shared" si="22"/>
        <v>-5.3731594986113204E-3</v>
      </c>
      <c r="AX18" s="5">
        <f t="shared" si="23"/>
        <v>0.13156296178665111</v>
      </c>
      <c r="AY18" s="5">
        <f t="shared" si="24"/>
        <v>2.6584791638152097E-2</v>
      </c>
      <c r="AZ18" s="5">
        <f t="shared" si="25"/>
        <v>-1.3592149763993368E-2</v>
      </c>
      <c r="BA18" s="5">
        <f t="shared" si="26"/>
        <v>-1.6098359957658626E-2</v>
      </c>
      <c r="BB18" s="8"/>
      <c r="BC18" s="6">
        <f t="shared" si="27"/>
        <v>20.590735412223033</v>
      </c>
      <c r="BD18" s="43"/>
      <c r="BE18" s="6">
        <v>20.51</v>
      </c>
      <c r="BF18" s="43"/>
      <c r="BG18" s="6">
        <v>20.51</v>
      </c>
      <c r="BH18" s="45"/>
      <c r="BI18" s="6">
        <f t="shared" si="28"/>
        <v>20.288492506590924</v>
      </c>
      <c r="BJ18" s="26"/>
    </row>
    <row r="19" spans="1:62" x14ac:dyDescent="0.55000000000000004">
      <c r="A19" s="36">
        <v>10</v>
      </c>
      <c r="B19" s="23">
        <v>52.141385933697293</v>
      </c>
      <c r="C19" s="20">
        <v>20</v>
      </c>
      <c r="D19" s="4"/>
      <c r="E19" s="23">
        <v>40</v>
      </c>
      <c r="F19" s="23">
        <v>49</v>
      </c>
      <c r="G19" s="23">
        <v>67</v>
      </c>
      <c r="H19" s="23">
        <v>69</v>
      </c>
      <c r="I19" s="23">
        <v>54</v>
      </c>
      <c r="K19" s="6">
        <f t="shared" si="0"/>
        <v>59.800000000000004</v>
      </c>
      <c r="L19" s="6">
        <f t="shared" si="1"/>
        <v>40</v>
      </c>
      <c r="M19" s="6">
        <f t="shared" si="2"/>
        <v>69</v>
      </c>
      <c r="O19" s="2">
        <f t="shared" si="3"/>
        <v>0.14688167430074378</v>
      </c>
      <c r="P19" s="2">
        <f t="shared" si="4"/>
        <v>0.19517017440823595</v>
      </c>
      <c r="R19" s="12">
        <f t="shared" si="5"/>
        <v>5.0654541166883837E-2</v>
      </c>
      <c r="S19" s="7">
        <f t="shared" si="6"/>
        <v>1.1810101045628105</v>
      </c>
      <c r="T19" s="2">
        <f t="shared" si="7"/>
        <v>0.12101724744188683</v>
      </c>
      <c r="V19" s="6">
        <f t="shared" si="8"/>
        <v>1042.8277186739458</v>
      </c>
      <c r="W19" s="2">
        <f t="shared" si="9"/>
        <v>7.9310279876925016E-2</v>
      </c>
      <c r="AF19" s="4"/>
      <c r="AG19" s="2">
        <f t="shared" si="10"/>
        <v>9.6227133133859943E-2</v>
      </c>
      <c r="AI19" s="6">
        <f t="shared" si="11"/>
        <v>54.550738795385975</v>
      </c>
      <c r="AJ19" s="8"/>
      <c r="AK19" s="2">
        <f t="shared" si="12"/>
        <v>-0.23285506735736206</v>
      </c>
      <c r="AL19" s="2">
        <f t="shared" si="13"/>
        <v>-6.0247457512768499E-2</v>
      </c>
      <c r="AM19" s="2">
        <f t="shared" si="14"/>
        <v>0.28496776217641862</v>
      </c>
      <c r="AN19" s="2">
        <f t="shared" si="15"/>
        <v>0.32332500880855042</v>
      </c>
      <c r="AO19" s="2">
        <f t="shared" si="16"/>
        <v>3.5645659067561342E-2</v>
      </c>
      <c r="AP19" s="28"/>
      <c r="AQ19" s="5">
        <f t="shared" si="17"/>
        <v>0.14419999296511501</v>
      </c>
      <c r="AR19" s="5">
        <f t="shared" si="18"/>
        <v>4.2902477245819345E-2</v>
      </c>
      <c r="AS19" s="5">
        <f t="shared" si="19"/>
        <v>1.9067767664808593E-2</v>
      </c>
      <c r="AT19" s="5">
        <f t="shared" si="20"/>
        <v>3.1132250292233748E-2</v>
      </c>
      <c r="AU19" s="5">
        <f t="shared" si="21"/>
        <v>1.2373451084956796E-2</v>
      </c>
      <c r="AV19" s="8"/>
      <c r="AW19" s="5">
        <f t="shared" si="22"/>
        <v>6.1722669534421334E-2</v>
      </c>
      <c r="AX19" s="5">
        <f t="shared" si="23"/>
        <v>4.3386395904166E-2</v>
      </c>
      <c r="AY19" s="5">
        <f t="shared" si="24"/>
        <v>8.9349951916501882E-3</v>
      </c>
      <c r="AZ19" s="5">
        <f t="shared" si="25"/>
        <v>1.5388980774502554E-2</v>
      </c>
      <c r="BA19" s="5">
        <f t="shared" si="26"/>
        <v>-1.6486543392334942E-2</v>
      </c>
      <c r="BB19" s="8"/>
      <c r="BC19" s="6">
        <f t="shared" si="27"/>
        <v>55.216411553853689</v>
      </c>
      <c r="BD19" s="43"/>
      <c r="BE19" s="6">
        <v>50.57</v>
      </c>
      <c r="BF19" s="43"/>
      <c r="BG19" s="6">
        <v>50.55</v>
      </c>
      <c r="BH19" s="45"/>
      <c r="BI19" s="6">
        <f t="shared" si="28"/>
        <v>51.346147759077191</v>
      </c>
      <c r="BJ19" s="26"/>
    </row>
    <row r="20" spans="1:62" x14ac:dyDescent="0.55000000000000004">
      <c r="A20" s="36">
        <v>11</v>
      </c>
      <c r="B20" s="23">
        <v>150</v>
      </c>
      <c r="C20" s="20">
        <v>8</v>
      </c>
      <c r="D20" s="4"/>
      <c r="E20" s="23">
        <v>130</v>
      </c>
      <c r="F20" s="23">
        <v>135</v>
      </c>
      <c r="G20" s="23">
        <v>135</v>
      </c>
      <c r="H20" s="23">
        <v>168</v>
      </c>
      <c r="I20" s="23">
        <v>154</v>
      </c>
      <c r="K20" s="6">
        <f t="shared" si="0"/>
        <v>143</v>
      </c>
      <c r="L20" s="6">
        <f t="shared" si="1"/>
        <v>130</v>
      </c>
      <c r="M20" s="6">
        <f t="shared" si="2"/>
        <v>168</v>
      </c>
      <c r="O20" s="2">
        <f t="shared" si="3"/>
        <v>-4.6666666666666634E-2</v>
      </c>
      <c r="P20" s="2">
        <f t="shared" si="4"/>
        <v>9.2472218050131769E-2</v>
      </c>
      <c r="R20" s="12">
        <f t="shared" si="5"/>
        <v>-8.384185285541336E-2</v>
      </c>
      <c r="S20" s="7">
        <f t="shared" si="6"/>
        <v>0.37220499297433762</v>
      </c>
      <c r="T20" s="2">
        <f t="shared" si="7"/>
        <v>7.8881700020334525E-2</v>
      </c>
      <c r="V20" s="6">
        <f t="shared" si="8"/>
        <v>1200</v>
      </c>
      <c r="W20" s="2">
        <f t="shared" si="9"/>
        <v>9.1263718971078614E-2</v>
      </c>
      <c r="AF20" s="4"/>
      <c r="AG20" s="2">
        <f t="shared" si="10"/>
        <v>3.7175186188746726E-2</v>
      </c>
      <c r="AI20" s="6">
        <f t="shared" si="11"/>
        <v>137.87449015770864</v>
      </c>
      <c r="AJ20" s="8"/>
      <c r="AK20" s="2">
        <f t="shared" si="12"/>
        <v>-0.1333333333333333</v>
      </c>
      <c r="AL20" s="2">
        <f t="shared" si="13"/>
        <v>-9.9999999999999978E-2</v>
      </c>
      <c r="AM20" s="2">
        <f t="shared" si="14"/>
        <v>-9.9999999999999978E-2</v>
      </c>
      <c r="AN20" s="2">
        <f t="shared" si="15"/>
        <v>0.12000000000000011</v>
      </c>
      <c r="AO20" s="2">
        <f t="shared" si="16"/>
        <v>2.6666666666666616E-2</v>
      </c>
      <c r="AP20" s="28"/>
      <c r="AQ20" s="5">
        <f t="shared" si="17"/>
        <v>7.5111111111111116E-3</v>
      </c>
      <c r="AR20" s="5">
        <f t="shared" si="18"/>
        <v>2.8444444444444454E-3</v>
      </c>
      <c r="AS20" s="5">
        <f t="shared" si="19"/>
        <v>2.8444444444444454E-3</v>
      </c>
      <c r="AT20" s="5">
        <f t="shared" si="20"/>
        <v>2.7777777777777804E-2</v>
      </c>
      <c r="AU20" s="5">
        <f t="shared" si="21"/>
        <v>5.3777777777777652E-3</v>
      </c>
      <c r="AV20" s="8"/>
      <c r="AW20" s="5">
        <f t="shared" si="22"/>
        <v>1.4086859235582557E-2</v>
      </c>
      <c r="AX20" s="5">
        <f t="shared" si="23"/>
        <v>1.1171490435117545E-2</v>
      </c>
      <c r="AY20" s="5">
        <f t="shared" si="24"/>
        <v>-3.450985426693053E-3</v>
      </c>
      <c r="AZ20" s="5">
        <f t="shared" si="25"/>
        <v>1.4536282349449026E-2</v>
      </c>
      <c r="BA20" s="5">
        <f t="shared" si="26"/>
        <v>1.0868900504662309E-2</v>
      </c>
      <c r="BB20" s="8"/>
      <c r="BC20" s="6">
        <f t="shared" si="27"/>
        <v>132.03924502008491</v>
      </c>
      <c r="BD20" s="43"/>
      <c r="BE20" s="6">
        <v>136.07</v>
      </c>
      <c r="BF20" s="43"/>
      <c r="BG20" s="6">
        <v>136.03</v>
      </c>
      <c r="BH20" s="45"/>
      <c r="BI20" s="6">
        <f t="shared" si="28"/>
        <v>136.39089803154172</v>
      </c>
      <c r="BJ20" s="26"/>
    </row>
    <row r="21" spans="1:62" x14ac:dyDescent="0.55000000000000004">
      <c r="A21" s="36">
        <v>12</v>
      </c>
      <c r="B21" s="23">
        <v>21.852650604835873</v>
      </c>
      <c r="C21" s="20">
        <v>18</v>
      </c>
      <c r="D21" s="4"/>
      <c r="E21" s="23">
        <v>26</v>
      </c>
      <c r="F21" s="23">
        <v>15</v>
      </c>
      <c r="G21" s="23">
        <v>29</v>
      </c>
      <c r="H21" s="23">
        <v>8</v>
      </c>
      <c r="I21" s="23">
        <v>23</v>
      </c>
      <c r="K21" s="6">
        <f t="shared" si="0"/>
        <v>21.100000000000005</v>
      </c>
      <c r="L21" s="6">
        <f t="shared" si="1"/>
        <v>8</v>
      </c>
      <c r="M21" s="6">
        <f t="shared" si="2"/>
        <v>29</v>
      </c>
      <c r="O21" s="2">
        <f t="shared" si="3"/>
        <v>-3.4442073799016155E-2</v>
      </c>
      <c r="P21" s="2">
        <f t="shared" si="4"/>
        <v>0.38146705263764413</v>
      </c>
      <c r="R21" s="12">
        <f t="shared" si="5"/>
        <v>-8.0222903166030424E-2</v>
      </c>
      <c r="S21" s="7">
        <f t="shared" si="6"/>
        <v>0.49007220229020676</v>
      </c>
      <c r="T21" s="2">
        <f t="shared" si="7"/>
        <v>0.37613808740390159</v>
      </c>
      <c r="V21" s="6">
        <f t="shared" si="8"/>
        <v>393.34771088704571</v>
      </c>
      <c r="W21" s="2">
        <f t="shared" si="9"/>
        <v>2.9915312453593683E-2</v>
      </c>
      <c r="AF21" s="4"/>
      <c r="AG21" s="2">
        <f t="shared" si="10"/>
        <v>4.5780829367014268E-2</v>
      </c>
      <c r="AI21" s="6">
        <f t="shared" si="11"/>
        <v>20.176311716070874</v>
      </c>
      <c r="AJ21" s="8"/>
      <c r="AK21" s="2">
        <f t="shared" si="12"/>
        <v>0.18978701806756293</v>
      </c>
      <c r="AL21" s="2">
        <f t="shared" si="13"/>
        <v>-0.31358441265332904</v>
      </c>
      <c r="AM21" s="2">
        <f t="shared" si="14"/>
        <v>0.32707013553689723</v>
      </c>
      <c r="AN21" s="2">
        <f t="shared" si="15"/>
        <v>-0.63391168674844223</v>
      </c>
      <c r="AO21" s="2">
        <f t="shared" si="16"/>
        <v>5.2503900598228848E-2</v>
      </c>
      <c r="AP21" s="28"/>
      <c r="AQ21" s="5">
        <f t="shared" si="17"/>
        <v>5.0278685639310761E-2</v>
      </c>
      <c r="AR21" s="5">
        <f t="shared" si="18"/>
        <v>7.7920445341056035E-2</v>
      </c>
      <c r="AS21" s="5">
        <f t="shared" si="19"/>
        <v>0.13069107749893324</v>
      </c>
      <c r="AT21" s="5">
        <f t="shared" si="20"/>
        <v>0.35936381684973462</v>
      </c>
      <c r="AU21" s="5">
        <f t="shared" si="21"/>
        <v>7.5596024638863828E-3</v>
      </c>
      <c r="AV21" s="8"/>
      <c r="AW21" s="5">
        <f t="shared" si="22"/>
        <v>-3.6446349849773178E-2</v>
      </c>
      <c r="AX21" s="5">
        <f t="shared" si="23"/>
        <v>5.8470674410261811E-2</v>
      </c>
      <c r="AY21" s="5">
        <f t="shared" si="24"/>
        <v>2.3392000612309595E-2</v>
      </c>
      <c r="AZ21" s="5">
        <f t="shared" si="25"/>
        <v>-5.2284357322486666E-2</v>
      </c>
      <c r="BA21" s="5">
        <f t="shared" si="26"/>
        <v>1.2886461068244183E-2</v>
      </c>
      <c r="BB21" s="8"/>
      <c r="BC21" s="6">
        <f t="shared" si="27"/>
        <v>19.482713775690854</v>
      </c>
      <c r="BD21" s="43"/>
      <c r="BE21" s="6">
        <v>21.49</v>
      </c>
      <c r="BF21" s="43"/>
      <c r="BG21" s="6">
        <v>21.51</v>
      </c>
      <c r="BH21" s="45"/>
      <c r="BI21" s="6">
        <f t="shared" si="28"/>
        <v>21.247262343214178</v>
      </c>
      <c r="BJ21" s="26"/>
    </row>
    <row r="22" spans="1:62" x14ac:dyDescent="0.55000000000000004">
      <c r="A22" s="36">
        <v>13</v>
      </c>
      <c r="B22" s="23">
        <v>7.9253868630804494</v>
      </c>
      <c r="C22" s="20">
        <v>20</v>
      </c>
      <c r="D22" s="4"/>
      <c r="E22" s="23">
        <v>2</v>
      </c>
      <c r="F22" s="23">
        <v>3</v>
      </c>
      <c r="G22" s="23">
        <v>17</v>
      </c>
      <c r="H22" s="23">
        <v>7</v>
      </c>
      <c r="I22" s="23">
        <v>18</v>
      </c>
      <c r="K22" s="6">
        <f t="shared" si="0"/>
        <v>10.8</v>
      </c>
      <c r="L22" s="6">
        <f t="shared" si="1"/>
        <v>2</v>
      </c>
      <c r="M22" s="6">
        <f t="shared" si="2"/>
        <v>18</v>
      </c>
      <c r="O22" s="2">
        <f t="shared" si="3"/>
        <v>0.36270950384903267</v>
      </c>
      <c r="P22" s="2">
        <f t="shared" si="4"/>
        <v>0.83085294977037005</v>
      </c>
      <c r="R22" s="12">
        <f t="shared" si="5"/>
        <v>-1.4854168134216528E-2</v>
      </c>
      <c r="S22" s="7">
        <f t="shared" si="6"/>
        <v>5.0343365818336059</v>
      </c>
      <c r="T22" s="2">
        <f t="shared" si="7"/>
        <v>0.51407863148777755</v>
      </c>
      <c r="V22" s="6">
        <f t="shared" si="8"/>
        <v>158.50773726160898</v>
      </c>
      <c r="W22" s="2">
        <f t="shared" si="9"/>
        <v>1.2055004656820873E-2</v>
      </c>
      <c r="AF22" s="4"/>
      <c r="AG22" s="2">
        <f t="shared" si="10"/>
        <v>0.37756367198324919</v>
      </c>
      <c r="AI22" s="6">
        <f t="shared" si="11"/>
        <v>7.8399279972674298</v>
      </c>
      <c r="AJ22" s="8"/>
      <c r="AK22" s="2">
        <f t="shared" si="12"/>
        <v>-0.74764638817610507</v>
      </c>
      <c r="AL22" s="2">
        <f t="shared" si="13"/>
        <v>-0.62146958226415761</v>
      </c>
      <c r="AM22" s="2">
        <f t="shared" si="14"/>
        <v>1.1450057005031069</v>
      </c>
      <c r="AN22" s="2">
        <f t="shared" si="15"/>
        <v>-0.11676235861636775</v>
      </c>
      <c r="AO22" s="2">
        <f t="shared" si="16"/>
        <v>1.2711825064150544</v>
      </c>
      <c r="AP22" s="28"/>
      <c r="AQ22" s="5">
        <f t="shared" si="17"/>
        <v>1.2328902069549392</v>
      </c>
      <c r="AR22" s="5">
        <f t="shared" si="18"/>
        <v>0.96860847354259438</v>
      </c>
      <c r="AS22" s="5">
        <f t="shared" si="19"/>
        <v>0.61198733929942994</v>
      </c>
      <c r="AT22" s="5">
        <f t="shared" si="20"/>
        <v>0.22989326689603984</v>
      </c>
      <c r="AU22" s="5">
        <f t="shared" si="21"/>
        <v>0.8253231963913229</v>
      </c>
      <c r="AV22" s="8"/>
      <c r="AW22" s="5">
        <f t="shared" si="22"/>
        <v>0.18047800560412869</v>
      </c>
      <c r="AX22" s="5">
        <f t="shared" si="23"/>
        <v>0.2061515108804293</v>
      </c>
      <c r="AY22" s="5">
        <f t="shared" si="24"/>
        <v>5.0619239512698984E-2</v>
      </c>
      <c r="AZ22" s="5">
        <f t="shared" si="25"/>
        <v>-4.1818430228479489E-2</v>
      </c>
      <c r="BA22" s="5">
        <f t="shared" si="26"/>
        <v>0.13464685467357174</v>
      </c>
      <c r="BB22" s="8"/>
      <c r="BC22" s="6">
        <f t="shared" si="27"/>
        <v>9.9721947287896295</v>
      </c>
      <c r="BD22" s="43"/>
      <c r="BE22" s="6">
        <v>7.35</v>
      </c>
      <c r="BF22" s="43"/>
      <c r="BG22" s="6">
        <v>7.39</v>
      </c>
      <c r="BH22" s="45"/>
      <c r="BI22" s="6">
        <f t="shared" si="28"/>
        <v>7.4879855994534861</v>
      </c>
      <c r="BJ22" s="26"/>
    </row>
    <row r="23" spans="1:62" x14ac:dyDescent="0.55000000000000004">
      <c r="A23" s="36">
        <v>14</v>
      </c>
      <c r="B23" s="23">
        <v>13.047490185582774</v>
      </c>
      <c r="C23" s="20">
        <v>30</v>
      </c>
      <c r="D23" s="4"/>
      <c r="E23" s="23">
        <v>18</v>
      </c>
      <c r="F23" s="23">
        <v>13</v>
      </c>
      <c r="G23" s="23">
        <v>10</v>
      </c>
      <c r="H23" s="23">
        <v>21</v>
      </c>
      <c r="I23" s="23">
        <v>15</v>
      </c>
      <c r="K23" s="6">
        <f t="shared" si="0"/>
        <v>14.100000000000001</v>
      </c>
      <c r="L23" s="6">
        <f t="shared" si="1"/>
        <v>10</v>
      </c>
      <c r="M23" s="6">
        <f t="shared" si="2"/>
        <v>21</v>
      </c>
      <c r="O23" s="2">
        <f t="shared" si="3"/>
        <v>8.0667607290498614E-2</v>
      </c>
      <c r="P23" s="2">
        <f t="shared" si="4"/>
        <v>0.32598101267990143</v>
      </c>
      <c r="R23" s="12">
        <f t="shared" si="5"/>
        <v>6.7247768280190051E-2</v>
      </c>
      <c r="S23" s="7">
        <f t="shared" si="6"/>
        <v>4.6839831968929262E-2</v>
      </c>
      <c r="T23" s="2">
        <f t="shared" si="7"/>
        <v>0.32592443935488624</v>
      </c>
      <c r="V23" s="6">
        <f t="shared" si="8"/>
        <v>391.42470556748322</v>
      </c>
      <c r="W23" s="2">
        <f t="shared" si="9"/>
        <v>2.9769061939373315E-2</v>
      </c>
      <c r="AF23" s="4"/>
      <c r="AG23" s="2">
        <f t="shared" si="10"/>
        <v>1.3419839010308562E-2</v>
      </c>
      <c r="AI23" s="6">
        <f t="shared" si="11"/>
        <v>13.913285942546635</v>
      </c>
      <c r="AJ23" s="8"/>
      <c r="AK23" s="2">
        <f t="shared" si="12"/>
        <v>0.37957566888148753</v>
      </c>
      <c r="AL23" s="2">
        <f t="shared" si="13"/>
        <v>-3.6397946967033912E-3</v>
      </c>
      <c r="AM23" s="2">
        <f t="shared" si="14"/>
        <v>-0.23356907284361805</v>
      </c>
      <c r="AN23" s="2">
        <f t="shared" si="15"/>
        <v>0.60950494702840219</v>
      </c>
      <c r="AO23" s="2">
        <f t="shared" si="16"/>
        <v>0.14964639073457309</v>
      </c>
      <c r="AP23" s="28"/>
      <c r="AQ23" s="5">
        <f t="shared" si="17"/>
        <v>8.9346029284082432E-2</v>
      </c>
      <c r="AR23" s="5">
        <f t="shared" si="18"/>
        <v>7.1077380298316725E-3</v>
      </c>
      <c r="AS23" s="5">
        <f t="shared" si="19"/>
        <v>9.8744691141711138E-2</v>
      </c>
      <c r="AT23" s="5">
        <f t="shared" si="20"/>
        <v>0.27966893190106284</v>
      </c>
      <c r="AU23" s="5">
        <f t="shared" si="21"/>
        <v>4.7580725654245226E-3</v>
      </c>
      <c r="AV23" s="8"/>
      <c r="AW23" s="5">
        <f t="shared" si="22"/>
        <v>-4.8584720630920411E-2</v>
      </c>
      <c r="AX23" s="5">
        <f t="shared" si="23"/>
        <v>1.7659487529555692E-2</v>
      </c>
      <c r="AY23" s="5">
        <f t="shared" si="24"/>
        <v>-2.0332991318910802E-2</v>
      </c>
      <c r="AZ23" s="5">
        <f t="shared" si="25"/>
        <v>4.6123973324169981E-2</v>
      </c>
      <c r="BA23" s="5">
        <f t="shared" si="26"/>
        <v>1.022350273890401E-2</v>
      </c>
      <c r="BB23" s="8"/>
      <c r="BC23" s="6">
        <f t="shared" si="27"/>
        <v>13.019254229253129</v>
      </c>
      <c r="BD23" s="43"/>
      <c r="BE23" s="6">
        <v>12.75</v>
      </c>
      <c r="BF23" s="43"/>
      <c r="BG23" s="6">
        <v>12.74</v>
      </c>
      <c r="BH23" s="45"/>
      <c r="BI23" s="6">
        <f t="shared" si="28"/>
        <v>12.972657188509327</v>
      </c>
      <c r="BJ23" s="26"/>
    </row>
    <row r="24" spans="1:62" x14ac:dyDescent="0.55000000000000004">
      <c r="A24" s="36">
        <v>15</v>
      </c>
      <c r="B24" s="23">
        <v>78.269549935027172</v>
      </c>
      <c r="C24" s="20">
        <v>12</v>
      </c>
      <c r="D24" s="4"/>
      <c r="E24" s="23">
        <v>66</v>
      </c>
      <c r="F24" s="23">
        <v>71</v>
      </c>
      <c r="G24" s="23">
        <v>94</v>
      </c>
      <c r="H24" s="23">
        <v>92</v>
      </c>
      <c r="I24" s="23">
        <v>102</v>
      </c>
      <c r="K24" s="6">
        <f t="shared" si="0"/>
        <v>87.000000000000014</v>
      </c>
      <c r="L24" s="6">
        <f t="shared" si="1"/>
        <v>66</v>
      </c>
      <c r="M24" s="6">
        <f t="shared" si="2"/>
        <v>102</v>
      </c>
      <c r="O24" s="2">
        <f t="shared" si="3"/>
        <v>0.11154337890303598</v>
      </c>
      <c r="P24" s="2">
        <f t="shared" si="4"/>
        <v>0.15246219151696844</v>
      </c>
      <c r="R24" s="12">
        <f t="shared" si="5"/>
        <v>1.8175374707749409E-2</v>
      </c>
      <c r="S24" s="7">
        <f t="shared" si="6"/>
        <v>1.1418500392332451</v>
      </c>
      <c r="T24" s="2">
        <f t="shared" si="7"/>
        <v>3.6436023551637775E-2</v>
      </c>
      <c r="V24" s="6">
        <f t="shared" si="8"/>
        <v>939.23459922032612</v>
      </c>
      <c r="W24" s="2">
        <f t="shared" si="9"/>
        <v>7.143170209263125E-2</v>
      </c>
      <c r="AF24" s="4"/>
      <c r="AG24" s="2">
        <f t="shared" si="10"/>
        <v>9.3368004195286569E-2</v>
      </c>
      <c r="AI24" s="6">
        <f t="shared" si="11"/>
        <v>79.57064745463407</v>
      </c>
      <c r="AJ24" s="8"/>
      <c r="AK24" s="2">
        <f t="shared" si="12"/>
        <v>-0.15676019531493823</v>
      </c>
      <c r="AL24" s="2">
        <f t="shared" si="13"/>
        <v>-9.2878391929706261E-2</v>
      </c>
      <c r="AM24" s="2">
        <f t="shared" si="14"/>
        <v>0.20097790364236068</v>
      </c>
      <c r="AN24" s="2">
        <f t="shared" si="15"/>
        <v>0.17542518228826798</v>
      </c>
      <c r="AO24" s="2">
        <f t="shared" si="16"/>
        <v>0.3031887890587317</v>
      </c>
      <c r="AP24" s="28"/>
      <c r="AQ24" s="5">
        <f t="shared" si="17"/>
        <v>7.198680793814001E-2</v>
      </c>
      <c r="AR24" s="5">
        <f t="shared" si="18"/>
        <v>4.1788260390394183E-2</v>
      </c>
      <c r="AS24" s="5">
        <f t="shared" si="19"/>
        <v>7.9985342153488809E-3</v>
      </c>
      <c r="AT24" s="5">
        <f t="shared" si="20"/>
        <v>4.0808848037494384E-3</v>
      </c>
      <c r="AU24" s="5">
        <f t="shared" si="21"/>
        <v>3.6727963233744838E-2</v>
      </c>
      <c r="AV24" s="8"/>
      <c r="AW24" s="5">
        <f t="shared" si="22"/>
        <v>4.3610246335526313E-2</v>
      </c>
      <c r="AX24" s="5">
        <f t="shared" si="23"/>
        <v>4.2819297329770689E-2</v>
      </c>
      <c r="AY24" s="5">
        <f t="shared" si="24"/>
        <v>5.7869482784742906E-3</v>
      </c>
      <c r="AZ24" s="5">
        <f t="shared" si="25"/>
        <v>5.571623585998324E-3</v>
      </c>
      <c r="BA24" s="5">
        <f t="shared" si="26"/>
        <v>2.8404203115783531E-2</v>
      </c>
      <c r="BB24" s="8"/>
      <c r="BC24" s="6">
        <f t="shared" si="27"/>
        <v>80.331568648583143</v>
      </c>
      <c r="BD24" s="43"/>
      <c r="BE24" s="6">
        <v>76.13</v>
      </c>
      <c r="BF24" s="43"/>
      <c r="BG24" s="6">
        <v>76.11</v>
      </c>
      <c r="BH24" s="45"/>
      <c r="BI24" s="6">
        <f t="shared" si="28"/>
        <v>76.798129490926812</v>
      </c>
      <c r="BJ24" s="26"/>
    </row>
    <row r="25" spans="1:62" x14ac:dyDescent="0.55000000000000004">
      <c r="A25" s="36">
        <v>16</v>
      </c>
      <c r="B25" s="23">
        <v>14.808754833150216</v>
      </c>
      <c r="C25" s="20">
        <v>45</v>
      </c>
      <c r="D25" s="4"/>
      <c r="E25" s="23">
        <v>24</v>
      </c>
      <c r="F25" s="23">
        <v>7</v>
      </c>
      <c r="G25" s="23">
        <v>16</v>
      </c>
      <c r="H25" s="23">
        <v>16</v>
      </c>
      <c r="I25" s="23">
        <v>16</v>
      </c>
      <c r="K25" s="6">
        <f t="shared" si="0"/>
        <v>15.000000000000002</v>
      </c>
      <c r="L25" s="6">
        <f t="shared" si="1"/>
        <v>7</v>
      </c>
      <c r="M25" s="6">
        <f t="shared" si="2"/>
        <v>24</v>
      </c>
      <c r="O25" s="2">
        <f t="shared" si="3"/>
        <v>1.2914331353617343E-2</v>
      </c>
      <c r="P25" s="2">
        <f t="shared" si="4"/>
        <v>0.31384002691739049</v>
      </c>
      <c r="R25" s="12">
        <f t="shared" si="5"/>
        <v>-6.9531320282575179E-2</v>
      </c>
      <c r="S25" s="7">
        <f t="shared" si="6"/>
        <v>0.99225201516508599</v>
      </c>
      <c r="T25" s="2">
        <f t="shared" si="7"/>
        <v>0.28626057857049103</v>
      </c>
      <c r="V25" s="6">
        <f t="shared" si="8"/>
        <v>666.39396749175967</v>
      </c>
      <c r="W25" s="2">
        <f t="shared" si="9"/>
        <v>5.0681326477658377E-2</v>
      </c>
      <c r="AF25" s="4"/>
      <c r="AG25" s="2">
        <f t="shared" si="10"/>
        <v>8.2445651636192524E-2</v>
      </c>
      <c r="AI25" s="6">
        <f t="shared" si="11"/>
        <v>13.857508667826833</v>
      </c>
      <c r="AJ25" s="8"/>
      <c r="AK25" s="2">
        <f t="shared" si="12"/>
        <v>0.62066293016578777</v>
      </c>
      <c r="AL25" s="2">
        <f t="shared" si="13"/>
        <v>-0.52730664536831195</v>
      </c>
      <c r="AM25" s="2">
        <f t="shared" si="14"/>
        <v>8.0441953443858516E-2</v>
      </c>
      <c r="AN25" s="2">
        <f t="shared" si="15"/>
        <v>8.0441953443858516E-2</v>
      </c>
      <c r="AO25" s="2">
        <f t="shared" si="16"/>
        <v>8.0441953443858516E-2</v>
      </c>
      <c r="AP25" s="28"/>
      <c r="AQ25" s="5">
        <f t="shared" si="17"/>
        <v>0.36935835935815653</v>
      </c>
      <c r="AR25" s="5">
        <f t="shared" si="18"/>
        <v>0.29183870369039522</v>
      </c>
      <c r="AS25" s="5">
        <f t="shared" si="19"/>
        <v>4.559979745162427E-3</v>
      </c>
      <c r="AT25" s="5">
        <f t="shared" si="20"/>
        <v>4.559979745162427E-3</v>
      </c>
      <c r="AU25" s="5">
        <f t="shared" si="21"/>
        <v>4.559979745162427E-3</v>
      </c>
      <c r="AV25" s="8"/>
      <c r="AW25" s="5">
        <f t="shared" si="22"/>
        <v>-9.8783872639495174E-2</v>
      </c>
      <c r="AX25" s="5">
        <f t="shared" si="23"/>
        <v>0.11315762764310418</v>
      </c>
      <c r="AY25" s="5">
        <f t="shared" si="24"/>
        <v>4.3694407449873397E-3</v>
      </c>
      <c r="AZ25" s="5">
        <f t="shared" si="25"/>
        <v>5.8896034865438193E-3</v>
      </c>
      <c r="BA25" s="5">
        <f t="shared" si="26"/>
        <v>1.0008422806571847E-2</v>
      </c>
      <c r="BB25" s="8"/>
      <c r="BC25" s="6">
        <f t="shared" si="27"/>
        <v>13.850270456652265</v>
      </c>
      <c r="BD25" s="43"/>
      <c r="BE25" s="6">
        <v>14.36</v>
      </c>
      <c r="BF25" s="43"/>
      <c r="BG25" s="6">
        <v>14.39</v>
      </c>
      <c r="BH25" s="45"/>
      <c r="BI25" s="6">
        <f t="shared" si="28"/>
        <v>14.289501733565368</v>
      </c>
      <c r="BJ25" s="26"/>
    </row>
    <row r="26" spans="1:62" x14ac:dyDescent="0.55000000000000004">
      <c r="A26" s="36">
        <v>17</v>
      </c>
      <c r="B26" s="23">
        <v>42.451169329832062</v>
      </c>
      <c r="C26" s="20">
        <v>20</v>
      </c>
      <c r="D26" s="4"/>
      <c r="E26" s="23">
        <v>27</v>
      </c>
      <c r="F26" s="23">
        <v>39</v>
      </c>
      <c r="G26" s="23">
        <v>50</v>
      </c>
      <c r="H26" s="23">
        <v>56</v>
      </c>
      <c r="I26" s="23">
        <v>59</v>
      </c>
      <c r="K26" s="6">
        <f t="shared" ref="K26:K29" si="29">SUMPRODUCT($E$8:$I$8,E26:I26)</f>
        <v>47.6</v>
      </c>
      <c r="L26" s="6">
        <f t="shared" ref="L26:L29" si="30">MIN(E26:I26)</f>
        <v>27</v>
      </c>
      <c r="M26" s="6">
        <f t="shared" ref="M26:M29" si="31">MAX(E26:I26)</f>
        <v>59</v>
      </c>
      <c r="O26" s="2">
        <f t="shared" si="3"/>
        <v>0.12128831199355575</v>
      </c>
      <c r="P26" s="2">
        <f t="shared" si="4"/>
        <v>0.21926512672137263</v>
      </c>
      <c r="R26" s="12">
        <f t="shared" si="5"/>
        <v>1.5340668732711782E-3</v>
      </c>
      <c r="S26" s="7">
        <f t="shared" si="6"/>
        <v>1.5032492417960222</v>
      </c>
      <c r="T26" s="2">
        <f t="shared" si="7"/>
        <v>0.1004531661874173</v>
      </c>
      <c r="V26" s="6">
        <f t="shared" si="8"/>
        <v>849.02338659664122</v>
      </c>
      <c r="W26" s="2">
        <f t="shared" si="9"/>
        <v>6.4570859795191088E-2</v>
      </c>
      <c r="AF26" s="4"/>
      <c r="AG26" s="2">
        <f t="shared" si="10"/>
        <v>0.11975424512028457</v>
      </c>
      <c r="AI26" s="6">
        <f t="shared" si="11"/>
        <v>42.509327566681186</v>
      </c>
      <c r="AJ26" s="8"/>
      <c r="AK26" s="2">
        <f t="shared" si="12"/>
        <v>-0.36397511714651243</v>
      </c>
      <c r="AL26" s="2">
        <f t="shared" si="13"/>
        <v>-8.1297391433851396E-2</v>
      </c>
      <c r="AM26" s="2">
        <f t="shared" si="14"/>
        <v>0.17782385713608795</v>
      </c>
      <c r="AN26" s="2">
        <f t="shared" si="15"/>
        <v>0.31916271999241852</v>
      </c>
      <c r="AO26" s="2">
        <f t="shared" si="16"/>
        <v>0.38983215142058381</v>
      </c>
      <c r="AP26" s="28"/>
      <c r="AQ26" s="5">
        <f t="shared" si="17"/>
        <v>0.23548059566077795</v>
      </c>
      <c r="AR26" s="5">
        <f t="shared" si="18"/>
        <v>4.1040967233177364E-2</v>
      </c>
      <c r="AS26" s="5">
        <f t="shared" si="19"/>
        <v>3.1962678645632964E-3</v>
      </c>
      <c r="AT26" s="5">
        <f t="shared" si="20"/>
        <v>3.9154281340900404E-2</v>
      </c>
      <c r="AU26" s="5">
        <f t="shared" si="21"/>
        <v>7.2115793694209437E-2</v>
      </c>
      <c r="AV26" s="8"/>
      <c r="AW26" s="5">
        <f t="shared" si="22"/>
        <v>7.8875049443910356E-2</v>
      </c>
      <c r="AX26" s="5">
        <f t="shared" si="23"/>
        <v>4.2434704652453213E-2</v>
      </c>
      <c r="AY26" s="5">
        <f t="shared" si="24"/>
        <v>3.6581876695692341E-3</v>
      </c>
      <c r="AZ26" s="5">
        <f t="shared" si="25"/>
        <v>1.7258149586409258E-2</v>
      </c>
      <c r="BA26" s="5">
        <f t="shared" si="26"/>
        <v>3.9801494616441585E-2</v>
      </c>
      <c r="BB26" s="8"/>
      <c r="BC26" s="6">
        <f t="shared" si="27"/>
        <v>43.951524915776517</v>
      </c>
      <c r="BD26" s="43"/>
      <c r="BE26" s="6">
        <v>41.31</v>
      </c>
      <c r="BF26" s="43"/>
      <c r="BG26" s="6">
        <v>41.3</v>
      </c>
      <c r="BH26" s="45"/>
      <c r="BI26" s="6">
        <f t="shared" si="28"/>
        <v>41.539865513336231</v>
      </c>
      <c r="BJ26" s="26"/>
    </row>
    <row r="27" spans="1:62" x14ac:dyDescent="0.55000000000000004">
      <c r="A27" s="36">
        <v>18</v>
      </c>
      <c r="B27" s="23">
        <v>44.241699232813389</v>
      </c>
      <c r="C27" s="20">
        <v>20</v>
      </c>
      <c r="D27" s="4"/>
      <c r="E27" s="23">
        <v>25</v>
      </c>
      <c r="F27" s="23">
        <v>53</v>
      </c>
      <c r="G27" s="23">
        <v>43</v>
      </c>
      <c r="H27" s="23">
        <v>50</v>
      </c>
      <c r="I27" s="23">
        <v>49</v>
      </c>
      <c r="K27" s="6">
        <f t="shared" si="29"/>
        <v>45.199999999999996</v>
      </c>
      <c r="L27" s="6">
        <f t="shared" si="30"/>
        <v>25</v>
      </c>
      <c r="M27" s="6">
        <f t="shared" si="31"/>
        <v>53</v>
      </c>
      <c r="O27" s="2">
        <f t="shared" si="3"/>
        <v>2.1660577776268002E-2</v>
      </c>
      <c r="P27" s="2">
        <f t="shared" si="4"/>
        <v>0.17647804342439022</v>
      </c>
      <c r="R27" s="12">
        <f t="shared" si="5"/>
        <v>3.3478146731672903E-3</v>
      </c>
      <c r="S27" s="7">
        <f t="shared" si="6"/>
        <v>0.11385577676991904</v>
      </c>
      <c r="T27" s="2">
        <f t="shared" si="7"/>
        <v>0.17585957606185773</v>
      </c>
      <c r="V27" s="6">
        <f t="shared" si="8"/>
        <v>884.83398465626783</v>
      </c>
      <c r="W27" s="2">
        <f t="shared" si="9"/>
        <v>6.7294366759774432E-2</v>
      </c>
      <c r="AF27" s="4"/>
      <c r="AG27" s="2">
        <f t="shared" si="10"/>
        <v>1.8312763103100711E-2</v>
      </c>
      <c r="AI27" s="6">
        <f t="shared" si="11"/>
        <v>44.387148661735516</v>
      </c>
      <c r="AJ27" s="8"/>
      <c r="AK27" s="2">
        <f t="shared" si="12"/>
        <v>-0.43492224680516145</v>
      </c>
      <c r="AL27" s="2">
        <f t="shared" si="13"/>
        <v>0.19796483677305754</v>
      </c>
      <c r="AM27" s="2">
        <f t="shared" si="14"/>
        <v>-2.8066264504877814E-2</v>
      </c>
      <c r="AN27" s="2">
        <f t="shared" si="15"/>
        <v>0.1301555063896771</v>
      </c>
      <c r="AO27" s="2">
        <f t="shared" si="16"/>
        <v>0.1075523962618834</v>
      </c>
      <c r="AP27" s="28"/>
      <c r="AQ27" s="5">
        <f t="shared" si="17"/>
        <v>0.20846787570275638</v>
      </c>
      <c r="AR27" s="5">
        <f t="shared" si="18"/>
        <v>3.1083191740407041E-2</v>
      </c>
      <c r="AS27" s="5">
        <f t="shared" si="19"/>
        <v>2.4727588432539513E-3</v>
      </c>
      <c r="AT27" s="5">
        <f t="shared" si="20"/>
        <v>1.1771149534828735E-2</v>
      </c>
      <c r="AU27" s="5">
        <f t="shared" si="21"/>
        <v>7.3774044827659016E-3</v>
      </c>
      <c r="AV27" s="8"/>
      <c r="AW27" s="5">
        <f t="shared" si="22"/>
        <v>7.4213284376114769E-2</v>
      </c>
      <c r="AX27" s="5">
        <f t="shared" si="23"/>
        <v>-3.6929650182246004E-2</v>
      </c>
      <c r="AY27" s="5">
        <f t="shared" si="24"/>
        <v>-3.2176239005193398E-3</v>
      </c>
      <c r="AZ27" s="5">
        <f t="shared" si="25"/>
        <v>9.4626774948469803E-3</v>
      </c>
      <c r="BA27" s="5">
        <f t="shared" si="26"/>
        <v>1.2730222217518223E-2</v>
      </c>
      <c r="BB27" s="8"/>
      <c r="BC27" s="6">
        <f t="shared" si="27"/>
        <v>41.735481642712145</v>
      </c>
      <c r="BD27" s="43"/>
      <c r="BE27" s="6">
        <v>44.03</v>
      </c>
      <c r="BF27" s="43"/>
      <c r="BG27" s="6">
        <v>44.02</v>
      </c>
      <c r="BH27" s="45"/>
      <c r="BI27" s="6">
        <f t="shared" si="28"/>
        <v>44.091429732347109</v>
      </c>
      <c r="BJ27" s="26"/>
    </row>
    <row r="28" spans="1:62" x14ac:dyDescent="0.55000000000000004">
      <c r="A28" s="36">
        <v>19</v>
      </c>
      <c r="B28" s="23">
        <v>38.533159550416691</v>
      </c>
      <c r="C28" s="20">
        <v>15</v>
      </c>
      <c r="D28" s="4"/>
      <c r="E28" s="23">
        <v>41</v>
      </c>
      <c r="F28" s="23">
        <v>26</v>
      </c>
      <c r="G28" s="23">
        <v>48</v>
      </c>
      <c r="H28" s="23">
        <v>59</v>
      </c>
      <c r="I28" s="23">
        <v>32</v>
      </c>
      <c r="K28" s="6">
        <f t="shared" si="29"/>
        <v>43.500000000000007</v>
      </c>
      <c r="L28" s="6">
        <f t="shared" si="30"/>
        <v>26</v>
      </c>
      <c r="M28" s="6">
        <f t="shared" si="31"/>
        <v>59</v>
      </c>
      <c r="O28" s="2">
        <f t="shared" si="3"/>
        <v>0.12889782482240278</v>
      </c>
      <c r="P28" s="2">
        <f t="shared" si="4"/>
        <v>0.29731377782296892</v>
      </c>
      <c r="R28" s="12">
        <f t="shared" si="5"/>
        <v>7.2891533943239828E-3</v>
      </c>
      <c r="S28" s="7">
        <f t="shared" si="6"/>
        <v>1.5286483954971217</v>
      </c>
      <c r="T28" s="2">
        <f t="shared" si="7"/>
        <v>0.22161821466973841</v>
      </c>
      <c r="V28" s="6">
        <f t="shared" si="8"/>
        <v>577.99739325625035</v>
      </c>
      <c r="W28" s="2">
        <f t="shared" si="9"/>
        <v>4.3958493053462035E-2</v>
      </c>
      <c r="AF28" s="4"/>
      <c r="AG28" s="2">
        <f t="shared" si="10"/>
        <v>0.1216086714280788</v>
      </c>
      <c r="AI28" s="6">
        <f t="shared" si="11"/>
        <v>38.783580323620356</v>
      </c>
      <c r="AJ28" s="8"/>
      <c r="AK28" s="2">
        <f t="shared" si="12"/>
        <v>6.401863948778197E-2</v>
      </c>
      <c r="AL28" s="2">
        <f t="shared" si="13"/>
        <v>-0.32525647251994316</v>
      </c>
      <c r="AM28" s="2">
        <f t="shared" si="14"/>
        <v>0.24568035842472025</v>
      </c>
      <c r="AN28" s="2">
        <f t="shared" si="15"/>
        <v>0.53114877389705217</v>
      </c>
      <c r="AO28" s="2">
        <f t="shared" si="16"/>
        <v>-0.16954642771685313</v>
      </c>
      <c r="AP28" s="28"/>
      <c r="AQ28" s="5">
        <f t="shared" si="17"/>
        <v>4.2093086896840756E-3</v>
      </c>
      <c r="AR28" s="5">
        <f t="shared" si="18"/>
        <v>0.20625612579451993</v>
      </c>
      <c r="AS28" s="5">
        <f t="shared" si="19"/>
        <v>1.3638160154576409E-2</v>
      </c>
      <c r="AT28" s="5">
        <f t="shared" si="20"/>
        <v>0.16180582603145621</v>
      </c>
      <c r="AU28" s="5">
        <f t="shared" si="21"/>
        <v>8.9068971873715139E-2</v>
      </c>
      <c r="AV28" s="8"/>
      <c r="AW28" s="5">
        <f t="shared" si="22"/>
        <v>1.0545507128400871E-2</v>
      </c>
      <c r="AX28" s="5">
        <f t="shared" si="23"/>
        <v>9.5129632290516491E-2</v>
      </c>
      <c r="AY28" s="5">
        <f t="shared" si="24"/>
        <v>7.556527904135424E-3</v>
      </c>
      <c r="AZ28" s="5">
        <f t="shared" si="25"/>
        <v>3.5083400226497662E-2</v>
      </c>
      <c r="BA28" s="5">
        <f t="shared" si="26"/>
        <v>-4.4233103005056652E-2</v>
      </c>
      <c r="BB28" s="8"/>
      <c r="BC28" s="6">
        <f t="shared" si="27"/>
        <v>40.165784324291572</v>
      </c>
      <c r="BD28" s="43"/>
      <c r="BE28" s="6">
        <v>37.08</v>
      </c>
      <c r="BF28" s="43"/>
      <c r="BG28" s="6">
        <v>37.07</v>
      </c>
      <c r="BH28" s="45"/>
      <c r="BI28" s="6">
        <f t="shared" si="28"/>
        <v>37.41071606472407</v>
      </c>
      <c r="BJ28" s="26"/>
    </row>
    <row r="29" spans="1:62" x14ac:dyDescent="0.55000000000000004">
      <c r="A29" s="36">
        <v>20</v>
      </c>
      <c r="B29" s="23">
        <v>15.892023175813247</v>
      </c>
      <c r="C29" s="20">
        <v>17</v>
      </c>
      <c r="D29" s="4"/>
      <c r="E29" s="23">
        <v>18</v>
      </c>
      <c r="F29" s="23">
        <v>22</v>
      </c>
      <c r="G29" s="23">
        <v>10</v>
      </c>
      <c r="H29" s="23">
        <v>18</v>
      </c>
      <c r="I29" s="23">
        <v>16</v>
      </c>
      <c r="K29" s="6">
        <f t="shared" si="29"/>
        <v>15.399999999999999</v>
      </c>
      <c r="L29" s="6">
        <f t="shared" si="30"/>
        <v>10</v>
      </c>
      <c r="M29" s="6">
        <f t="shared" si="31"/>
        <v>22</v>
      </c>
      <c r="O29" s="2">
        <f t="shared" si="3"/>
        <v>-3.0960386249755632E-2</v>
      </c>
      <c r="P29" s="2">
        <f t="shared" si="4"/>
        <v>0.29807958750905816</v>
      </c>
      <c r="R29" s="12">
        <f t="shared" si="5"/>
        <v>6.9529169663702317E-2</v>
      </c>
      <c r="S29" s="7">
        <f t="shared" si="6"/>
        <v>-1.513320427572125</v>
      </c>
      <c r="T29" s="2">
        <f t="shared" si="7"/>
        <v>0.22439784004376673</v>
      </c>
      <c r="V29" s="6">
        <f t="shared" si="8"/>
        <v>270.16439398882517</v>
      </c>
      <c r="W29" s="2">
        <f t="shared" si="9"/>
        <v>2.054683944082325E-2</v>
      </c>
      <c r="AF29" s="4"/>
      <c r="AG29" s="2">
        <f t="shared" si="10"/>
        <v>-0.10048955591345796</v>
      </c>
      <c r="AI29" s="6">
        <f t="shared" si="11"/>
        <v>17.120423783004306</v>
      </c>
      <c r="AJ29" s="8"/>
      <c r="AK29" s="2">
        <f t="shared" si="12"/>
        <v>0.13264370438340256</v>
      </c>
      <c r="AL29" s="2">
        <f t="shared" si="13"/>
        <v>0.38434230535749192</v>
      </c>
      <c r="AM29" s="2">
        <f t="shared" si="14"/>
        <v>-0.37075349756477638</v>
      </c>
      <c r="AN29" s="2">
        <f t="shared" si="15"/>
        <v>0.13264370438340256</v>
      </c>
      <c r="AO29" s="2">
        <f t="shared" si="16"/>
        <v>6.7944038963576592E-3</v>
      </c>
      <c r="AP29" s="28"/>
      <c r="AQ29" s="5">
        <f t="shared" si="17"/>
        <v>2.6766298471902643E-2</v>
      </c>
      <c r="AR29" s="5">
        <f t="shared" si="18"/>
        <v>0.17247632565622456</v>
      </c>
      <c r="AS29" s="5">
        <f t="shared" si="19"/>
        <v>0.11545935849714209</v>
      </c>
      <c r="AT29" s="5">
        <f t="shared" si="20"/>
        <v>2.6766298471902643E-2</v>
      </c>
      <c r="AU29" s="5">
        <f t="shared" si="21"/>
        <v>1.4254241789770532E-3</v>
      </c>
      <c r="AV29" s="8"/>
      <c r="AW29" s="5">
        <f t="shared" si="22"/>
        <v>-2.6592320712862966E-2</v>
      </c>
      <c r="AX29" s="5">
        <f t="shared" si="23"/>
        <v>-8.6991563380667561E-2</v>
      </c>
      <c r="AY29" s="5">
        <f t="shared" si="24"/>
        <v>-2.1986645160728003E-2</v>
      </c>
      <c r="AZ29" s="5">
        <f t="shared" si="25"/>
        <v>1.4269171529810613E-2</v>
      </c>
      <c r="BA29" s="5">
        <f t="shared" si="26"/>
        <v>5.5957235137160562E-3</v>
      </c>
      <c r="BB29" s="8"/>
      <c r="BC29" s="6">
        <f t="shared" si="27"/>
        <v>14.219611002162988</v>
      </c>
      <c r="BD29" s="43"/>
      <c r="BE29" s="6">
        <v>15.7</v>
      </c>
      <c r="BF29" s="43"/>
      <c r="BG29" s="6">
        <v>15.7</v>
      </c>
      <c r="BH29" s="45"/>
      <c r="BI29" s="6">
        <f t="shared" si="28"/>
        <v>15.984084756600861</v>
      </c>
      <c r="BJ29" s="26"/>
    </row>
    <row r="30" spans="1:62" x14ac:dyDescent="0.55000000000000004">
      <c r="R30" s="8"/>
      <c r="T30" s="25"/>
      <c r="AG30" s="25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26"/>
    </row>
    <row r="31" spans="1:62" x14ac:dyDescent="0.55000000000000004">
      <c r="A31" s="9" t="s">
        <v>6</v>
      </c>
      <c r="B31" s="21">
        <v>100</v>
      </c>
      <c r="K31" s="7">
        <f>B31*(1+O31)</f>
        <v>108.30113424099616</v>
      </c>
      <c r="L31" s="7">
        <f>B31*(1+MIN(AK31:AO31))</f>
        <v>87.354589675150777</v>
      </c>
      <c r="M31" s="7">
        <f>B31*(1+MAX(AK31:AO31))</f>
        <v>123.12236220189934</v>
      </c>
      <c r="O31" s="2">
        <f>SUMPRODUCT($E$8:$I$8,AK31:AO31)</f>
        <v>8.3011342409961622E-2</v>
      </c>
      <c r="P31" s="2">
        <f>SQRT(SUMPRODUCT($E$8:$I$8,AQ31:AU31))</f>
        <v>0.12965307767319187</v>
      </c>
      <c r="R31" s="12">
        <f>O31-AG31</f>
        <v>0</v>
      </c>
      <c r="S31" s="7">
        <f>SUMPRODUCT($E$8:$I$8,AW31:BA31)/$P$31^2</f>
        <v>1</v>
      </c>
      <c r="T31" s="2">
        <v>0</v>
      </c>
      <c r="V31" s="6">
        <f>SUM(V10:V29)</f>
        <v>13148.70809045464</v>
      </c>
      <c r="W31" s="12">
        <f>SUM(W10:W29)</f>
        <v>0.99999999999999967</v>
      </c>
      <c r="AG31" s="2">
        <f>$D$2+S31*($O$31-$D$2)</f>
        <v>8.3011342409961622E-2</v>
      </c>
      <c r="AI31" s="3"/>
      <c r="AJ31" s="8"/>
      <c r="AK31" s="2">
        <f>SUMPRODUCT($W$10:$W$29,AK10:AK29)</f>
        <v>-7.9529341077529417E-2</v>
      </c>
      <c r="AL31" s="2">
        <f>SUMPRODUCT($W$10:$W$29,AL10:AL29)</f>
        <v>-0.12645410324849232</v>
      </c>
      <c r="AM31" s="2">
        <f>SUMPRODUCT($W$10:$W$29,AM10:AM29)</f>
        <v>0.14771731916045636</v>
      </c>
      <c r="AN31" s="2">
        <f>SUMPRODUCT($W$10:$W$29,AN10:AN29)</f>
        <v>0.17022903650665575</v>
      </c>
      <c r="AO31" s="2">
        <f>SUMPRODUCT($W$10:$W$29,AO10:AO29)</f>
        <v>0.2312236220189933</v>
      </c>
      <c r="AP31" s="8"/>
      <c r="AQ31" s="5">
        <f>(AK31-$O31)^2</f>
        <v>2.6419473788580741E-2</v>
      </c>
      <c r="AR31" s="5">
        <f>(AL31-$O31)^2</f>
        <v>4.3875772924894717E-2</v>
      </c>
      <c r="AS31" s="5">
        <f>(AM31-$O31)^2</f>
        <v>4.1868634272355654E-3</v>
      </c>
      <c r="AT31" s="5">
        <f>(AN31-$O31)^2</f>
        <v>7.606926163544513E-3</v>
      </c>
      <c r="AU31" s="5">
        <f>(AO31-$O31)^2</f>
        <v>2.1966879826905782E-2</v>
      </c>
      <c r="AV31" s="8"/>
      <c r="AW31" s="5">
        <f>(AK31-$O31)*(AK$31-$O$31)</f>
        <v>2.6419473788580741E-2</v>
      </c>
      <c r="AX31" s="5">
        <f>(AL31-$O31)*(AL$31-$O$31)</f>
        <v>4.3875772924894717E-2</v>
      </c>
      <c r="AY31" s="5">
        <f>(AM31-$O31)*(AM$31-$O$31)</f>
        <v>4.1868634272355654E-3</v>
      </c>
      <c r="AZ31" s="5">
        <f>(AN31-$O31)*(AN$31-$O$31)</f>
        <v>7.606926163544513E-3</v>
      </c>
      <c r="BA31" s="5">
        <f>(AO31-$O31)*(AO$31-$O$31)</f>
        <v>2.1966879826905782E-2</v>
      </c>
      <c r="BB31" s="8"/>
      <c r="BC31" s="8"/>
      <c r="BD31" s="8"/>
      <c r="BE31" s="8"/>
      <c r="BF31" s="8"/>
      <c r="BG31" s="8"/>
      <c r="BH31" s="8"/>
      <c r="BI31" s="8"/>
      <c r="BJ31" s="26"/>
    </row>
    <row r="32" spans="1:62" x14ac:dyDescent="0.55000000000000004">
      <c r="AG32" s="35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1"/>
    </row>
  </sheetData>
  <mergeCells count="13">
    <mergeCell ref="K1:U1"/>
    <mergeCell ref="A5:C5"/>
    <mergeCell ref="AQ9:AU9"/>
    <mergeCell ref="AW9:BA9"/>
    <mergeCell ref="AK9:AO9"/>
    <mergeCell ref="K8:M8"/>
    <mergeCell ref="V8:W8"/>
    <mergeCell ref="F1:H1"/>
    <mergeCell ref="E9:I9"/>
    <mergeCell ref="A2:C2"/>
    <mergeCell ref="A3:C3"/>
    <mergeCell ref="A4:C4"/>
    <mergeCell ref="E6:I6"/>
  </mergeCells>
  <conditionalFormatting sqref="F1">
    <cfRule type="expression" dxfId="5" priority="7">
      <formula>MSEAlpha&gt;0.0001</formula>
    </cfRule>
  </conditionalFormatting>
  <conditionalFormatting sqref="P5:S5">
    <cfRule type="expression" dxfId="4" priority="6">
      <formula>OR($M$4&lt;$D$3,$M$4&gt;$D$4)</formula>
    </cfRule>
  </conditionalFormatting>
  <conditionalFormatting sqref="Q5">
    <cfRule type="expression" dxfId="3" priority="5">
      <formula>$P$5="MRP out of range."</formula>
    </cfRule>
  </conditionalFormatting>
  <conditionalFormatting sqref="P3:R3">
    <cfRule type="expression" dxfId="2" priority="4">
      <formula>SUM($E$8:$I$8)&lt;&gt;1</formula>
    </cfRule>
  </conditionalFormatting>
  <conditionalFormatting sqref="S3">
    <cfRule type="expression" dxfId="1" priority="3">
      <formula>SUM($E$8:$I$8)&lt;&gt;1</formula>
    </cfRule>
  </conditionalFormatting>
  <conditionalFormatting sqref="P4:S4">
    <cfRule type="expression" dxfId="0" priority="1">
      <formula>MaxMRP&lt;MinMRP</formula>
    </cfRule>
  </conditionalFormatting>
  <dataValidations count="7">
    <dataValidation type="decimal" allowBlank="1" showInputMessage="1" showErrorMessage="1" error="This model restricts the risk-free rate between 0% and 10%." sqref="D2">
      <formula1>0</formula1>
      <formula2>0.1</formula2>
    </dataValidation>
    <dataValidation type="decimal" allowBlank="1" showInputMessage="1" showErrorMessage="1" error="Please enter a value between 4% and 7%." sqref="D3">
      <formula1>0.04</formula1>
      <formula2>0.07</formula2>
    </dataValidation>
    <dataValidation type="decimal" allowBlank="1" showInputMessage="1" showErrorMessage="1" error="Please enter a value between 5% and 9%." sqref="D4">
      <formula1>0.05</formula1>
      <formula2>0.09</formula2>
    </dataValidation>
    <dataValidation type="decimal" allowBlank="1" showInputMessage="1" showErrorMessage="1" error="Prices must be between $0.01 and $1,000." sqref="B10:B29 E10:I29">
      <formula1>0.01</formula1>
      <formula2>1000</formula2>
    </dataValidation>
    <dataValidation type="decimal" allowBlank="1" showInputMessage="1" showErrorMessage="1" error="Shares outstanding must be between 1 and 100." sqref="C10:C29">
      <formula1>1</formula1>
      <formula2>100</formula2>
    </dataValidation>
    <dataValidation type="decimal" allowBlank="1" showInputMessage="1" showErrorMessage="1" error="Probabilities must be between 0% and 100%, and must add up to 100%." sqref="E8:I8">
      <formula1>0</formula1>
      <formula2>1</formula2>
    </dataValidation>
    <dataValidation type="decimal" allowBlank="1" showInputMessage="1" showErrorMessage="1" sqref="D5">
      <formula1>0.1</formula1>
      <formula2>0.8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Iteration">
                <anchor moveWithCells="1" sizeWithCells="1">
                  <from>
                    <xdr:col>7</xdr:col>
                    <xdr:colOff>247650</xdr:colOff>
                    <xdr:row>2</xdr:row>
                    <xdr:rowOff>19050</xdr:rowOff>
                  </from>
                  <to>
                    <xdr:col>8</xdr:col>
                    <xdr:colOff>552450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ialize">
                <anchor moveWithCells="1" sizeWithCells="1">
                  <from>
                    <xdr:col>5</xdr:col>
                    <xdr:colOff>449580</xdr:colOff>
                    <xdr:row>2</xdr:row>
                    <xdr:rowOff>19050</xdr:rowOff>
                  </from>
                  <to>
                    <xdr:col>7</xdr:col>
                    <xdr:colOff>144780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timize">
                <anchor moveWithCells="1" sizeWithCells="1">
                  <from>
                    <xdr:col>21</xdr:col>
                    <xdr:colOff>190500</xdr:colOff>
                    <xdr:row>1</xdr:row>
                    <xdr:rowOff>49530</xdr:rowOff>
                  </from>
                  <to>
                    <xdr:col>22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erturb">
                <anchor moveWithCells="1" sizeWithCells="1">
                  <from>
                    <xdr:col>4</xdr:col>
                    <xdr:colOff>57150</xdr:colOff>
                    <xdr:row>2</xdr:row>
                    <xdr:rowOff>30480</xdr:rowOff>
                  </from>
                  <to>
                    <xdr:col>5</xdr:col>
                    <xdr:colOff>361950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ore">
                <anchor moveWithCells="1" sizeWithCells="1">
                  <from>
                    <xdr:col>23</xdr:col>
                    <xdr:colOff>190500</xdr:colOff>
                    <xdr:row>1</xdr:row>
                    <xdr:rowOff>49530</xdr:rowOff>
                  </from>
                  <to>
                    <xdr:col>24</xdr:col>
                    <xdr:colOff>563880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29"/>
  <sheetViews>
    <sheetView workbookViewId="0">
      <selection activeCell="B10" sqref="B10:B29"/>
    </sheetView>
  </sheetViews>
  <sheetFormatPr defaultRowHeight="14.4" x14ac:dyDescent="0.55000000000000004"/>
  <sheetData>
    <row r="2" spans="1:9" x14ac:dyDescent="0.55000000000000004">
      <c r="A2" s="54" t="s">
        <v>29</v>
      </c>
      <c r="B2" s="54"/>
      <c r="C2" s="54"/>
      <c r="D2" s="17">
        <v>0.04</v>
      </c>
    </row>
    <row r="3" spans="1:9" x14ac:dyDescent="0.55000000000000004">
      <c r="A3" s="54" t="s">
        <v>35</v>
      </c>
      <c r="B3" s="54"/>
      <c r="C3" s="54"/>
      <c r="D3" s="18">
        <v>6.5000000000000002E-2</v>
      </c>
    </row>
    <row r="4" spans="1:9" x14ac:dyDescent="0.55000000000000004">
      <c r="A4" s="54" t="s">
        <v>36</v>
      </c>
      <c r="B4" s="54"/>
      <c r="C4" s="54"/>
      <c r="D4" s="18">
        <v>7.4999999999999997E-2</v>
      </c>
    </row>
    <row r="6" spans="1:9" x14ac:dyDescent="0.55000000000000004">
      <c r="E6" s="63" t="s">
        <v>18</v>
      </c>
      <c r="F6" s="63"/>
      <c r="G6" s="63"/>
      <c r="H6" s="63"/>
      <c r="I6" s="63"/>
    </row>
    <row r="7" spans="1:9" x14ac:dyDescent="0.55000000000000004">
      <c r="E7" s="10" t="s">
        <v>13</v>
      </c>
      <c r="F7" s="10" t="s">
        <v>14</v>
      </c>
      <c r="G7" s="10" t="s">
        <v>15</v>
      </c>
      <c r="H7" s="10" t="s">
        <v>16</v>
      </c>
      <c r="I7" s="10" t="s">
        <v>17</v>
      </c>
    </row>
    <row r="8" spans="1:9" x14ac:dyDescent="0.55000000000000004">
      <c r="E8" s="22">
        <v>0.1</v>
      </c>
      <c r="F8" s="22">
        <v>0.2</v>
      </c>
      <c r="G8" s="22">
        <v>0.4</v>
      </c>
      <c r="H8" s="22">
        <v>0.2</v>
      </c>
      <c r="I8" s="22">
        <v>0.1</v>
      </c>
    </row>
    <row r="9" spans="1:9" x14ac:dyDescent="0.55000000000000004">
      <c r="A9" s="38" t="s">
        <v>0</v>
      </c>
      <c r="B9" s="10" t="s">
        <v>41</v>
      </c>
      <c r="C9" s="10" t="s">
        <v>1</v>
      </c>
      <c r="D9" s="1"/>
      <c r="E9" s="55" t="s">
        <v>26</v>
      </c>
      <c r="F9" s="56"/>
      <c r="G9" s="56"/>
      <c r="H9" s="56"/>
      <c r="I9" s="57"/>
    </row>
    <row r="10" spans="1:9" x14ac:dyDescent="0.55000000000000004">
      <c r="A10" s="36">
        <v>1</v>
      </c>
      <c r="B10" s="39">
        <v>43.307639106850047</v>
      </c>
      <c r="C10" s="19">
        <v>20</v>
      </c>
      <c r="E10" s="23">
        <v>43</v>
      </c>
      <c r="F10" s="23">
        <v>38</v>
      </c>
      <c r="G10" s="23">
        <v>46</v>
      </c>
      <c r="H10" s="23">
        <v>63</v>
      </c>
      <c r="I10" s="23">
        <v>76</v>
      </c>
    </row>
    <row r="11" spans="1:9" x14ac:dyDescent="0.55000000000000004">
      <c r="A11" s="36">
        <v>2</v>
      </c>
      <c r="B11" s="39">
        <v>42.235711103501103</v>
      </c>
      <c r="C11" s="20">
        <v>22</v>
      </c>
      <c r="D11" s="4"/>
      <c r="E11" s="23">
        <v>45</v>
      </c>
      <c r="F11" s="23">
        <v>44</v>
      </c>
      <c r="G11" s="23">
        <v>41</v>
      </c>
      <c r="H11" s="23">
        <v>48</v>
      </c>
      <c r="I11" s="23">
        <v>57</v>
      </c>
    </row>
    <row r="12" spans="1:9" x14ac:dyDescent="0.55000000000000004">
      <c r="A12" s="36">
        <v>3</v>
      </c>
      <c r="B12" s="39">
        <v>12.298368542360318</v>
      </c>
      <c r="C12" s="20">
        <v>18</v>
      </c>
      <c r="D12" s="4"/>
      <c r="E12" s="23">
        <v>9</v>
      </c>
      <c r="F12" s="23">
        <v>12</v>
      </c>
      <c r="G12" s="23">
        <v>14</v>
      </c>
      <c r="H12" s="23">
        <v>18</v>
      </c>
      <c r="I12" s="23">
        <v>16</v>
      </c>
    </row>
    <row r="13" spans="1:9" x14ac:dyDescent="0.55000000000000004">
      <c r="A13" s="36">
        <v>4</v>
      </c>
      <c r="B13" s="39">
        <v>49.010490133932393</v>
      </c>
      <c r="C13" s="20">
        <v>12</v>
      </c>
      <c r="D13" s="4"/>
      <c r="E13" s="23">
        <v>46</v>
      </c>
      <c r="F13" s="23">
        <v>48</v>
      </c>
      <c r="G13" s="23">
        <v>55</v>
      </c>
      <c r="H13" s="23">
        <v>53</v>
      </c>
      <c r="I13" s="23">
        <v>61</v>
      </c>
    </row>
    <row r="14" spans="1:9" x14ac:dyDescent="0.55000000000000004">
      <c r="A14" s="36">
        <v>5</v>
      </c>
      <c r="B14" s="39">
        <v>16.7627517864839</v>
      </c>
      <c r="C14" s="20">
        <v>15</v>
      </c>
      <c r="D14" s="4"/>
      <c r="E14" s="23">
        <v>16</v>
      </c>
      <c r="F14" s="23">
        <v>13</v>
      </c>
      <c r="G14" s="23">
        <v>22</v>
      </c>
      <c r="H14" s="23">
        <v>15</v>
      </c>
      <c r="I14" s="23">
        <v>29</v>
      </c>
    </row>
    <row r="15" spans="1:9" x14ac:dyDescent="0.55000000000000004">
      <c r="A15" s="36">
        <v>6</v>
      </c>
      <c r="B15" s="39">
        <v>26.014708322730627</v>
      </c>
      <c r="C15" s="20">
        <v>23</v>
      </c>
      <c r="D15" s="4"/>
      <c r="E15" s="23">
        <v>32</v>
      </c>
      <c r="F15" s="23">
        <v>28</v>
      </c>
      <c r="G15" s="23">
        <v>21</v>
      </c>
      <c r="H15" s="23">
        <v>30</v>
      </c>
      <c r="I15" s="23">
        <v>45</v>
      </c>
    </row>
    <row r="16" spans="1:9" x14ac:dyDescent="0.55000000000000004">
      <c r="A16" s="36">
        <v>7</v>
      </c>
      <c r="B16" s="39">
        <v>214.5141782315134</v>
      </c>
      <c r="C16" s="20">
        <v>5</v>
      </c>
      <c r="D16" s="4"/>
      <c r="E16" s="23">
        <v>180</v>
      </c>
      <c r="F16" s="23">
        <v>187</v>
      </c>
      <c r="G16" s="23">
        <v>278</v>
      </c>
      <c r="H16" s="23">
        <v>231</v>
      </c>
      <c r="I16" s="23">
        <v>241</v>
      </c>
    </row>
    <row r="17" spans="1:9" x14ac:dyDescent="0.55000000000000004">
      <c r="A17" s="36">
        <v>8</v>
      </c>
      <c r="B17" s="39">
        <v>18.017474727419799</v>
      </c>
      <c r="C17" s="20">
        <v>12</v>
      </c>
      <c r="D17" s="4"/>
      <c r="E17" s="23">
        <v>12</v>
      </c>
      <c r="F17" s="23">
        <v>18</v>
      </c>
      <c r="G17" s="23">
        <v>22</v>
      </c>
      <c r="H17" s="23">
        <v>20</v>
      </c>
      <c r="I17" s="23">
        <v>24</v>
      </c>
    </row>
    <row r="18" spans="1:9" x14ac:dyDescent="0.55000000000000004">
      <c r="A18" s="36">
        <v>9</v>
      </c>
      <c r="B18" s="39">
        <v>21.284322244901929</v>
      </c>
      <c r="C18" s="20">
        <v>45</v>
      </c>
      <c r="D18" s="4"/>
      <c r="E18" s="23">
        <v>23</v>
      </c>
      <c r="F18" s="23">
        <v>19</v>
      </c>
      <c r="G18" s="23">
        <v>24</v>
      </c>
      <c r="H18" s="23">
        <v>27</v>
      </c>
      <c r="I18" s="23">
        <v>21</v>
      </c>
    </row>
    <row r="19" spans="1:9" x14ac:dyDescent="0.55000000000000004">
      <c r="A19" s="36">
        <v>10</v>
      </c>
      <c r="B19" s="39">
        <v>47.517949159666003</v>
      </c>
      <c r="C19" s="20">
        <v>20</v>
      </c>
      <c r="D19" s="4"/>
      <c r="E19" s="23">
        <v>43</v>
      </c>
      <c r="F19" s="23">
        <v>45</v>
      </c>
      <c r="G19" s="23">
        <v>54</v>
      </c>
      <c r="H19" s="23">
        <v>65</v>
      </c>
      <c r="I19" s="23">
        <v>47</v>
      </c>
    </row>
    <row r="20" spans="1:9" x14ac:dyDescent="0.55000000000000004">
      <c r="A20" s="36">
        <v>11</v>
      </c>
      <c r="B20" s="39">
        <v>131.91754271904216</v>
      </c>
      <c r="C20" s="20">
        <v>8</v>
      </c>
      <c r="D20" s="4"/>
      <c r="E20" s="23">
        <v>137</v>
      </c>
      <c r="F20" s="23">
        <v>130</v>
      </c>
      <c r="G20" s="23">
        <v>136</v>
      </c>
      <c r="H20" s="23">
        <v>172</v>
      </c>
      <c r="I20" s="23">
        <v>148</v>
      </c>
    </row>
    <row r="21" spans="1:9" x14ac:dyDescent="0.55000000000000004">
      <c r="A21" s="36">
        <v>12</v>
      </c>
      <c r="B21" s="39">
        <v>21.870515823992847</v>
      </c>
      <c r="C21" s="20">
        <v>18</v>
      </c>
      <c r="D21" s="4"/>
      <c r="E21" s="23">
        <v>24</v>
      </c>
      <c r="F21" s="23">
        <v>16</v>
      </c>
      <c r="G21" s="23">
        <v>30</v>
      </c>
      <c r="H21" s="23">
        <v>17</v>
      </c>
      <c r="I21" s="23">
        <v>26</v>
      </c>
    </row>
    <row r="22" spans="1:9" x14ac:dyDescent="0.55000000000000004">
      <c r="A22" s="36">
        <v>13</v>
      </c>
      <c r="B22" s="39">
        <v>9.1496802177207872</v>
      </c>
      <c r="C22" s="20">
        <v>20</v>
      </c>
      <c r="D22" s="4"/>
      <c r="E22" s="23">
        <v>9</v>
      </c>
      <c r="F22" s="23">
        <v>7</v>
      </c>
      <c r="G22" s="23">
        <v>12</v>
      </c>
      <c r="H22" s="23">
        <v>11</v>
      </c>
      <c r="I22" s="23">
        <v>10</v>
      </c>
    </row>
    <row r="23" spans="1:9" x14ac:dyDescent="0.55000000000000004">
      <c r="A23" s="36">
        <v>14</v>
      </c>
      <c r="B23" s="39">
        <v>11.756498663186198</v>
      </c>
      <c r="C23" s="20">
        <v>30</v>
      </c>
      <c r="D23" s="4"/>
      <c r="E23" s="23">
        <v>10</v>
      </c>
      <c r="F23" s="23">
        <v>12</v>
      </c>
      <c r="G23" s="23">
        <v>12</v>
      </c>
      <c r="H23" s="23">
        <v>16</v>
      </c>
      <c r="I23" s="23">
        <v>19</v>
      </c>
    </row>
    <row r="24" spans="1:9" x14ac:dyDescent="0.55000000000000004">
      <c r="A24" s="36">
        <v>15</v>
      </c>
      <c r="B24" s="39">
        <v>75.743209300117513</v>
      </c>
      <c r="C24" s="20">
        <v>12</v>
      </c>
      <c r="D24" s="4"/>
      <c r="E24" s="23">
        <v>68</v>
      </c>
      <c r="F24" s="23">
        <v>66</v>
      </c>
      <c r="G24" s="23">
        <v>92</v>
      </c>
      <c r="H24" s="23">
        <v>89</v>
      </c>
      <c r="I24" s="23">
        <v>107</v>
      </c>
    </row>
    <row r="25" spans="1:9" x14ac:dyDescent="0.55000000000000004">
      <c r="A25" s="36">
        <v>16</v>
      </c>
      <c r="B25" s="39">
        <v>15.809582016301116</v>
      </c>
      <c r="C25" s="20">
        <v>45</v>
      </c>
      <c r="D25" s="4"/>
      <c r="E25" s="23">
        <v>16</v>
      </c>
      <c r="F25" s="23">
        <v>11</v>
      </c>
      <c r="G25" s="23">
        <v>21</v>
      </c>
      <c r="H25" s="23">
        <v>23</v>
      </c>
      <c r="I25" s="23">
        <v>15</v>
      </c>
    </row>
    <row r="26" spans="1:9" x14ac:dyDescent="0.55000000000000004">
      <c r="A26" s="36">
        <v>17</v>
      </c>
      <c r="B26" s="39">
        <v>41.435382890807524</v>
      </c>
      <c r="C26" s="20">
        <v>20</v>
      </c>
      <c r="D26" s="4"/>
      <c r="E26" s="23">
        <v>30</v>
      </c>
      <c r="F26" s="23">
        <v>40</v>
      </c>
      <c r="G26" s="23">
        <v>50</v>
      </c>
      <c r="H26" s="23">
        <v>50</v>
      </c>
      <c r="I26" s="23">
        <v>55</v>
      </c>
    </row>
    <row r="27" spans="1:9" x14ac:dyDescent="0.55000000000000004">
      <c r="A27" s="36">
        <v>18</v>
      </c>
      <c r="B27" s="39">
        <v>42.542486407331097</v>
      </c>
      <c r="C27" s="20">
        <v>20</v>
      </c>
      <c r="D27" s="4"/>
      <c r="E27" s="23">
        <v>25</v>
      </c>
      <c r="F27" s="23">
        <v>53</v>
      </c>
      <c r="G27" s="23">
        <v>43</v>
      </c>
      <c r="H27" s="23">
        <v>50</v>
      </c>
      <c r="I27" s="23">
        <v>49</v>
      </c>
    </row>
    <row r="28" spans="1:9" x14ac:dyDescent="0.55000000000000004">
      <c r="A28" s="36">
        <v>19</v>
      </c>
      <c r="B28" s="39">
        <v>37.573047884675795</v>
      </c>
      <c r="C28" s="20">
        <v>15</v>
      </c>
      <c r="D28" s="4"/>
      <c r="E28" s="23">
        <v>41</v>
      </c>
      <c r="F28" s="23">
        <v>26</v>
      </c>
      <c r="G28" s="23">
        <v>48</v>
      </c>
      <c r="H28" s="23">
        <v>59</v>
      </c>
      <c r="I28" s="23">
        <v>32</v>
      </c>
    </row>
    <row r="29" spans="1:9" x14ac:dyDescent="0.55000000000000004">
      <c r="A29" s="36">
        <v>20</v>
      </c>
      <c r="B29" s="39">
        <v>15.536636994438679</v>
      </c>
      <c r="C29" s="20">
        <v>17</v>
      </c>
      <c r="D29" s="4"/>
      <c r="E29" s="23">
        <v>19</v>
      </c>
      <c r="F29" s="23">
        <v>15</v>
      </c>
      <c r="G29" s="23">
        <v>15</v>
      </c>
      <c r="H29" s="23">
        <v>21</v>
      </c>
      <c r="I29" s="23">
        <v>15</v>
      </c>
    </row>
  </sheetData>
  <mergeCells count="5">
    <mergeCell ref="A2:C2"/>
    <mergeCell ref="A3:C3"/>
    <mergeCell ref="A4:C4"/>
    <mergeCell ref="E6:I6"/>
    <mergeCell ref="E9:I9"/>
  </mergeCells>
  <dataValidations count="3">
    <dataValidation type="decimal" allowBlank="1" showInputMessage="1" showErrorMessage="1" error="Please enter a value between 5% and 9%." sqref="D4">
      <formula1>0.05</formula1>
      <formula2>0.09</formula2>
    </dataValidation>
    <dataValidation type="decimal" allowBlank="1" showInputMessage="1" showErrorMessage="1" error="Please enter a value between 4% and 7%." sqref="D3">
      <formula1>0.04</formula1>
      <formula2>0.07</formula2>
    </dataValidation>
    <dataValidation type="decimal" allowBlank="1" showInputMessage="1" showErrorMessage="1" error="This model restricts the risk-free rate between 0% and 10%." sqref="D2">
      <formula1>0</formula1>
      <formula2>0.1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Introduction</vt:lpstr>
      <vt:lpstr>Model</vt:lpstr>
      <vt:lpstr>Backup</vt:lpstr>
      <vt:lpstr>AdjSpeed</vt:lpstr>
      <vt:lpstr>CurrentIteratedValues</vt:lpstr>
      <vt:lpstr>Error1</vt:lpstr>
      <vt:lpstr>FuturePricesTLC</vt:lpstr>
      <vt:lpstr>InitialValues</vt:lpstr>
      <vt:lpstr>IteratedValues</vt:lpstr>
      <vt:lpstr>MaxMRP</vt:lpstr>
      <vt:lpstr>MinMRP</vt:lpstr>
      <vt:lpstr>MRP</vt:lpstr>
      <vt:lpstr>MSEAlpha</vt:lpstr>
      <vt:lpstr>PreviousIteratedValues</vt:lpstr>
      <vt:lpstr>Prices</vt:lpstr>
      <vt:lpstr>Rf</vt:lpstr>
      <vt:lpstr>SumProbabilities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K Shukla</dc:creator>
  <cp:lastModifiedBy>Mohamed</cp:lastModifiedBy>
  <dcterms:created xsi:type="dcterms:W3CDTF">2006-09-16T00:00:00Z</dcterms:created>
  <dcterms:modified xsi:type="dcterms:W3CDTF">2016-12-24T20:38:24Z</dcterms:modified>
</cp:coreProperties>
</file>
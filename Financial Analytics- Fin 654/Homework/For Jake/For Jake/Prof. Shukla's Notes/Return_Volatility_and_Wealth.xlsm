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BA\January 2017\Finance\Prof. Shukla's Notes\"/>
    </mc:Choice>
  </mc:AlternateContent>
  <bookViews>
    <workbookView xWindow="0" yWindow="0" windowWidth="23040" windowHeight="8808"/>
  </bookViews>
  <sheets>
    <sheet name="Cover" sheetId="1" r:id="rId1"/>
    <sheet name="Model 1" sheetId="2" r:id="rId2"/>
    <sheet name="Model 2" sheetId="3" r:id="rId3"/>
    <sheet name="Random Numbers" sheetId="4" state="hidden" r:id="rId4"/>
  </sheets>
  <definedNames>
    <definedName name="Dist">'Random Numbers'!#REF!</definedName>
    <definedName name="Mean">'Random Numbers'!#REF!</definedName>
    <definedName name="NRandomNumbers">'Random Numbers'!$B$4</definedName>
    <definedName name="NVars">'Random Numbers'!$B$3</definedName>
    <definedName name="OutputRange">'Random Numbers'!$B$6</definedName>
    <definedName name="Seed" localSheetId="1">'Model 1'!$K$3</definedName>
    <definedName name="Seed" localSheetId="2">'Model 2'!$K$3</definedName>
    <definedName name="Seed" localSheetId="3">'Random Numbers'!$B$5</definedName>
    <definedName name="Seed">'Model 1'!$K$3</definedName>
    <definedName name="StdDev">'Random Numbers'!#REF!</definedName>
  </definedNames>
  <calcPr calcId="171027"/>
</workbook>
</file>

<file path=xl/calcChain.xml><?xml version="1.0" encoding="utf-8"?>
<calcChain xmlns="http://schemas.openxmlformats.org/spreadsheetml/2006/main">
  <c r="D33" i="3" l="1"/>
  <c r="E33" i="3"/>
  <c r="F33" i="3"/>
  <c r="D34" i="3"/>
  <c r="E34" i="3"/>
  <c r="F34" i="3"/>
  <c r="D35" i="3"/>
  <c r="E35" i="3"/>
  <c r="F35" i="3"/>
  <c r="D36" i="3"/>
  <c r="E36" i="3"/>
  <c r="F36" i="3"/>
  <c r="D37" i="3"/>
  <c r="E37" i="3"/>
  <c r="F37" i="3"/>
  <c r="D38" i="3"/>
  <c r="E38" i="3"/>
  <c r="F38" i="3"/>
  <c r="D39" i="3"/>
  <c r="E39" i="3"/>
  <c r="F39" i="3"/>
  <c r="D40" i="3"/>
  <c r="E40" i="3"/>
  <c r="F40" i="3"/>
  <c r="D41" i="3"/>
  <c r="E41" i="3"/>
  <c r="F41" i="3"/>
  <c r="D42" i="3"/>
  <c r="E42" i="3"/>
  <c r="F42" i="3"/>
  <c r="C33" i="3"/>
  <c r="C42" i="3"/>
  <c r="C41" i="3"/>
  <c r="C40" i="3"/>
  <c r="C39" i="3"/>
  <c r="C38" i="3"/>
  <c r="C37" i="3"/>
  <c r="C36" i="3"/>
  <c r="C35" i="3"/>
  <c r="C34" i="3"/>
  <c r="B33" i="3"/>
  <c r="B34" i="3" s="1"/>
  <c r="B35" i="3" s="1"/>
  <c r="B36" i="3" s="1"/>
  <c r="B37" i="3" s="1"/>
  <c r="B38" i="3" s="1"/>
  <c r="B39" i="3" s="1"/>
  <c r="B40" i="3" s="1"/>
  <c r="B41" i="3" s="1"/>
  <c r="B42" i="3" s="1"/>
  <c r="I32" i="3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C34" i="2"/>
  <c r="C35" i="2"/>
  <c r="C36" i="2"/>
  <c r="C37" i="2"/>
  <c r="C38" i="2"/>
  <c r="C39" i="2"/>
  <c r="C40" i="2"/>
  <c r="C41" i="2"/>
  <c r="C42" i="2"/>
  <c r="C33" i="2"/>
  <c r="H33" i="2" s="1"/>
  <c r="B33" i="2"/>
  <c r="B34" i="2" s="1"/>
  <c r="B35" i="2" s="1"/>
  <c r="B36" i="2" s="1"/>
  <c r="B37" i="2" s="1"/>
  <c r="B38" i="2" s="1"/>
  <c r="B39" i="2" s="1"/>
  <c r="B40" i="2" s="1"/>
  <c r="B41" i="2" s="1"/>
  <c r="B42" i="2" s="1"/>
  <c r="I32" i="2"/>
  <c r="F8" i="3"/>
  <c r="E8" i="3"/>
  <c r="D8" i="3"/>
  <c r="C8" i="3"/>
  <c r="E45" i="3" l="1"/>
  <c r="F45" i="3"/>
  <c r="I33" i="3"/>
  <c r="D45" i="3"/>
  <c r="C45" i="3"/>
  <c r="I33" i="2"/>
  <c r="I34" i="2" s="1"/>
  <c r="I35" i="2" s="1"/>
  <c r="I36" i="2" s="1"/>
  <c r="I37" i="2" s="1"/>
  <c r="I38" i="2" s="1"/>
  <c r="I39" i="2" s="1"/>
  <c r="I40" i="2" s="1"/>
  <c r="I41" i="2" s="1"/>
  <c r="I42" i="2" s="1"/>
  <c r="I34" i="3"/>
  <c r="I35" i="3" s="1"/>
  <c r="I36" i="3" s="1"/>
  <c r="I37" i="3" s="1"/>
  <c r="I38" i="3" s="1"/>
  <c r="I39" i="3" s="1"/>
  <c r="I40" i="3" s="1"/>
  <c r="I41" i="3" s="1"/>
  <c r="I42" i="3" s="1"/>
  <c r="H33" i="3"/>
  <c r="H34" i="3" s="1"/>
  <c r="H35" i="3" s="1"/>
  <c r="H36" i="3" s="1"/>
  <c r="H37" i="3" s="1"/>
  <c r="H38" i="3" s="1"/>
  <c r="H39" i="3" s="1"/>
  <c r="H40" i="3" s="1"/>
  <c r="H41" i="3" s="1"/>
  <c r="H42" i="3" s="1"/>
  <c r="D44" i="3"/>
  <c r="F44" i="3"/>
  <c r="J32" i="3"/>
  <c r="C44" i="3"/>
  <c r="E44" i="3"/>
  <c r="J32" i="2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H34" i="2"/>
  <c r="H35" i="2" s="1"/>
  <c r="H36" i="2" s="1"/>
  <c r="H37" i="2" s="1"/>
  <c r="H38" i="2" s="1"/>
  <c r="H39" i="2" s="1"/>
  <c r="H40" i="2" s="1"/>
  <c r="H41" i="2" s="1"/>
  <c r="H42" i="2" s="1"/>
  <c r="F44" i="2"/>
  <c r="D45" i="2"/>
  <c r="C45" i="2"/>
  <c r="E45" i="2"/>
  <c r="D44" i="2"/>
  <c r="F45" i="2"/>
  <c r="C44" i="2"/>
  <c r="E44" i="2"/>
  <c r="K32" i="2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D8" i="2"/>
  <c r="E8" i="2"/>
  <c r="F8" i="2"/>
  <c r="C8" i="2"/>
  <c r="B13" i="3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14" i="2"/>
  <c r="B15" i="2" s="1"/>
  <c r="B16" i="2" s="1"/>
  <c r="B17" i="2" s="1"/>
  <c r="B18" i="2" s="1"/>
  <c r="B19" i="2" s="1"/>
  <c r="B20" i="2" s="1"/>
  <c r="B21" i="2" s="1"/>
  <c r="B22" i="2" s="1"/>
  <c r="B23" i="2" s="1"/>
  <c r="C20" i="4"/>
  <c r="D20" i="4"/>
  <c r="E20" i="4"/>
  <c r="B20" i="4"/>
  <c r="C19" i="4"/>
  <c r="D19" i="4"/>
  <c r="E19" i="4"/>
  <c r="B19" i="4"/>
  <c r="I13" i="2"/>
  <c r="J13" i="2" s="1"/>
  <c r="I13" i="3"/>
  <c r="J33" i="3" l="1"/>
  <c r="J34" i="3" s="1"/>
  <c r="J35" i="3" s="1"/>
  <c r="J36" i="3" s="1"/>
  <c r="J37" i="3" s="1"/>
  <c r="J38" i="3" s="1"/>
  <c r="J39" i="3" s="1"/>
  <c r="J40" i="3" s="1"/>
  <c r="J41" i="3" s="1"/>
  <c r="J42" i="3" s="1"/>
  <c r="K32" i="3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J8" i="4"/>
  <c r="E14" i="3" s="1"/>
  <c r="I9" i="4"/>
  <c r="D15" i="3" s="1"/>
  <c r="I10" i="4"/>
  <c r="D16" i="3" s="1"/>
  <c r="K10" i="4"/>
  <c r="F16" i="3" s="1"/>
  <c r="I17" i="4"/>
  <c r="D23" i="3" s="1"/>
  <c r="K13" i="4"/>
  <c r="F19" i="3" s="1"/>
  <c r="I8" i="4"/>
  <c r="D14" i="3" s="1"/>
  <c r="I14" i="3" s="1"/>
  <c r="K9" i="4"/>
  <c r="F15" i="3" s="1"/>
  <c r="J9" i="4"/>
  <c r="E15" i="3" s="1"/>
  <c r="K8" i="4"/>
  <c r="F14" i="3" s="1"/>
  <c r="K17" i="4"/>
  <c r="F23" i="3" s="1"/>
  <c r="K15" i="4"/>
  <c r="F21" i="3" s="1"/>
  <c r="K11" i="4"/>
  <c r="F17" i="3" s="1"/>
  <c r="H9" i="4"/>
  <c r="K16" i="4"/>
  <c r="F22" i="3" s="1"/>
  <c r="K14" i="4"/>
  <c r="F20" i="3" s="1"/>
  <c r="K12" i="4"/>
  <c r="F18" i="3" s="1"/>
  <c r="H17" i="4"/>
  <c r="I16" i="4"/>
  <c r="D22" i="3" s="1"/>
  <c r="I15" i="4"/>
  <c r="D21" i="3" s="1"/>
  <c r="I14" i="4"/>
  <c r="D20" i="3" s="1"/>
  <c r="I13" i="4"/>
  <c r="D19" i="3" s="1"/>
  <c r="I12" i="4"/>
  <c r="D18" i="3" s="1"/>
  <c r="I11" i="4"/>
  <c r="D17" i="3" s="1"/>
  <c r="H15" i="4"/>
  <c r="H13" i="4"/>
  <c r="H11" i="4"/>
  <c r="H16" i="4"/>
  <c r="H14" i="4"/>
  <c r="H12" i="4"/>
  <c r="J17" i="4"/>
  <c r="E23" i="3" s="1"/>
  <c r="J16" i="4"/>
  <c r="E22" i="3" s="1"/>
  <c r="J15" i="4"/>
  <c r="E21" i="3" s="1"/>
  <c r="J14" i="4"/>
  <c r="E20" i="3" s="1"/>
  <c r="J13" i="4"/>
  <c r="E19" i="3" s="1"/>
  <c r="J12" i="4"/>
  <c r="E18" i="3" s="1"/>
  <c r="J11" i="4"/>
  <c r="E17" i="3" s="1"/>
  <c r="J10" i="4"/>
  <c r="E16" i="3" s="1"/>
  <c r="H10" i="4"/>
  <c r="H8" i="4"/>
  <c r="J13" i="3"/>
  <c r="K13" i="3" s="1"/>
  <c r="K13" i="2"/>
  <c r="J14" i="3" l="1"/>
  <c r="I15" i="3"/>
  <c r="I16" i="3" s="1"/>
  <c r="I17" i="3" s="1"/>
  <c r="I18" i="3" s="1"/>
  <c r="I19" i="3" s="1"/>
  <c r="I20" i="3" s="1"/>
  <c r="I21" i="3" s="1"/>
  <c r="I22" i="3" s="1"/>
  <c r="I23" i="3" s="1"/>
  <c r="D26" i="3"/>
  <c r="F26" i="3"/>
  <c r="D25" i="3"/>
  <c r="F25" i="3"/>
  <c r="K14" i="3"/>
  <c r="K15" i="3" s="1"/>
  <c r="K16" i="3" s="1"/>
  <c r="K17" i="3" s="1"/>
  <c r="K18" i="3" s="1"/>
  <c r="K19" i="3" s="1"/>
  <c r="K20" i="3" s="1"/>
  <c r="K21" i="3" s="1"/>
  <c r="K22" i="3" s="1"/>
  <c r="K23" i="3" s="1"/>
  <c r="C20" i="3"/>
  <c r="E20" i="2"/>
  <c r="C20" i="2"/>
  <c r="D20" i="2"/>
  <c r="F20" i="2"/>
  <c r="C14" i="3"/>
  <c r="H14" i="3" s="1"/>
  <c r="E14" i="2"/>
  <c r="J14" i="2" s="1"/>
  <c r="C14" i="2"/>
  <c r="H14" i="2" s="1"/>
  <c r="D14" i="2"/>
  <c r="I14" i="2" s="1"/>
  <c r="F14" i="2"/>
  <c r="K14" i="2" s="1"/>
  <c r="C18" i="3"/>
  <c r="E18" i="2"/>
  <c r="C18" i="2"/>
  <c r="D18" i="2"/>
  <c r="F18" i="2"/>
  <c r="C22" i="3"/>
  <c r="E22" i="2"/>
  <c r="C22" i="2"/>
  <c r="D22" i="2"/>
  <c r="F22" i="2"/>
  <c r="D19" i="2"/>
  <c r="F19" i="2"/>
  <c r="C19" i="3"/>
  <c r="E19" i="2"/>
  <c r="C19" i="2"/>
  <c r="D23" i="2"/>
  <c r="F23" i="2"/>
  <c r="C23" i="3"/>
  <c r="E23" i="2"/>
  <c r="C23" i="2"/>
  <c r="D15" i="2"/>
  <c r="F15" i="2"/>
  <c r="C15" i="3"/>
  <c r="E15" i="2"/>
  <c r="C15" i="2"/>
  <c r="C16" i="3"/>
  <c r="E16" i="2"/>
  <c r="C16" i="2"/>
  <c r="D16" i="2"/>
  <c r="F16" i="2"/>
  <c r="D17" i="2"/>
  <c r="F17" i="2"/>
  <c r="C17" i="3"/>
  <c r="E17" i="2"/>
  <c r="C17" i="2"/>
  <c r="D21" i="2"/>
  <c r="F21" i="2"/>
  <c r="C21" i="3"/>
  <c r="E21" i="2"/>
  <c r="C21" i="2"/>
  <c r="K20" i="4"/>
  <c r="K19" i="4"/>
  <c r="H19" i="4"/>
  <c r="I20" i="4"/>
  <c r="J19" i="4"/>
  <c r="I19" i="4"/>
  <c r="J20" i="4"/>
  <c r="E25" i="3"/>
  <c r="E26" i="3"/>
  <c r="J15" i="3"/>
  <c r="J16" i="3" s="1"/>
  <c r="J17" i="3" s="1"/>
  <c r="J18" i="3" s="1"/>
  <c r="J19" i="3" s="1"/>
  <c r="J20" i="3" s="1"/>
  <c r="J21" i="3" s="1"/>
  <c r="J22" i="3" s="1"/>
  <c r="J23" i="3" s="1"/>
  <c r="H20" i="4"/>
  <c r="D26" i="2" l="1"/>
  <c r="H15" i="2"/>
  <c r="H16" i="2" s="1"/>
  <c r="H17" i="2" s="1"/>
  <c r="H18" i="2" s="1"/>
  <c r="H19" i="2" s="1"/>
  <c r="H20" i="2" s="1"/>
  <c r="H21" i="2" s="1"/>
  <c r="H22" i="2" s="1"/>
  <c r="H23" i="2" s="1"/>
  <c r="D25" i="2"/>
  <c r="C26" i="2"/>
  <c r="C26" i="3"/>
  <c r="E25" i="2"/>
  <c r="F25" i="2"/>
  <c r="E26" i="2"/>
  <c r="H15" i="3"/>
  <c r="H16" i="3" s="1"/>
  <c r="H17" i="3" s="1"/>
  <c r="H18" i="3" s="1"/>
  <c r="H19" i="3" s="1"/>
  <c r="H20" i="3" s="1"/>
  <c r="H21" i="3" s="1"/>
  <c r="H22" i="3" s="1"/>
  <c r="H23" i="3" s="1"/>
  <c r="I15" i="2"/>
  <c r="I16" i="2" s="1"/>
  <c r="I17" i="2" s="1"/>
  <c r="I18" i="2" s="1"/>
  <c r="I19" i="2" s="1"/>
  <c r="I20" i="2" s="1"/>
  <c r="I21" i="2" s="1"/>
  <c r="I22" i="2" s="1"/>
  <c r="I23" i="2" s="1"/>
  <c r="F26" i="2"/>
  <c r="C25" i="2"/>
  <c r="C25" i="3"/>
  <c r="K15" i="2"/>
  <c r="K16" i="2" s="1"/>
  <c r="K17" i="2" s="1"/>
  <c r="K18" i="2" s="1"/>
  <c r="K19" i="2" s="1"/>
  <c r="K20" i="2" s="1"/>
  <c r="K21" i="2" s="1"/>
  <c r="K22" i="2" s="1"/>
  <c r="K23" i="2" s="1"/>
  <c r="J15" i="2"/>
  <c r="J16" i="2" s="1"/>
  <c r="J17" i="2" s="1"/>
  <c r="J18" i="2" s="1"/>
  <c r="J19" i="2" s="1"/>
  <c r="J20" i="2" s="1"/>
  <c r="J21" i="2" s="1"/>
  <c r="J22" i="2" s="1"/>
  <c r="J23" i="2" s="1"/>
</calcChain>
</file>

<file path=xl/sharedStrings.xml><?xml version="1.0" encoding="utf-8"?>
<sst xmlns="http://schemas.openxmlformats.org/spreadsheetml/2006/main" count="78" uniqueCount="51">
  <si>
    <t>Ravi Shukla</t>
  </si>
  <si>
    <t xml:space="preserve">Caution: No warranties. Use at your own  risk. </t>
  </si>
  <si>
    <t>The spreadsheet contains two models:</t>
  </si>
  <si>
    <t>The following normally distributed variables were generated using the following setup:</t>
  </si>
  <si>
    <t>Number of Variables</t>
  </si>
  <si>
    <t>Number of Random Numbers</t>
  </si>
  <si>
    <t>Output Range</t>
  </si>
  <si>
    <t>Sample Mean</t>
  </si>
  <si>
    <t>Sample Standard Deviation</t>
  </si>
  <si>
    <t>The return on the four investments are random with the same average but different standard deviations.</t>
  </si>
  <si>
    <t>A</t>
  </si>
  <si>
    <t>B</t>
  </si>
  <si>
    <t>C</t>
  </si>
  <si>
    <t>D</t>
  </si>
  <si>
    <t>Year</t>
  </si>
  <si>
    <t>Returns</t>
  </si>
  <si>
    <t>Wealth</t>
  </si>
  <si>
    <t>In Model 2, the returns on alternative investments come from different normally distributed</t>
  </si>
  <si>
    <t>random variable. In this setting, the terminal wealth of the high standard deviation</t>
  </si>
  <si>
    <t>investment will generally be lower than that of a low standard deviation investment as long</t>
  </si>
  <si>
    <t>as the average returns of the two investments are equal. However, in certain (rather rare)</t>
  </si>
  <si>
    <t>circumstances, it is possible that the investment with a higher standard deviation has a</t>
  </si>
  <si>
    <t>higher wealth.</t>
  </si>
  <si>
    <t xml:space="preserve">Random Seed: </t>
  </si>
  <si>
    <t>B7</t>
  </si>
  <si>
    <t>deviation.</t>
  </si>
  <si>
    <t>The conclusion of this spreadsheet is that other things (including average return) being the</t>
  </si>
  <si>
    <t>same, the terminal wealth from investing decreases as standard deviation of returns</t>
  </si>
  <si>
    <t>increases. Therefore, an investment with a higher standard deviation must have a higher</t>
  </si>
  <si>
    <t>average return to provide the same terminal wealth as an investment with a lower standard</t>
  </si>
  <si>
    <t>In model 1, returns on alternative investments come from the same normally distributed</t>
  </si>
  <si>
    <t>random variable. Returns on different investments are shifted for expected returns and</t>
  </si>
  <si>
    <t>scaled for standard deviations. Because of this strong control, In this setting, the terminal</t>
  </si>
  <si>
    <t>wealth of the high standard deviation investment will always be lower than that of a low</t>
  </si>
  <si>
    <t>standard deviation investment as long as the average returns of the two investments are</t>
  </si>
  <si>
    <t>equal.</t>
  </si>
  <si>
    <t>You can run new trials of the model by changing the seed that is used to generate the</t>
  </si>
  <si>
    <t>random numbers and clicking on the new trial button.</t>
  </si>
  <si>
    <r>
      <t xml:space="preserve">Avg Ret - 0.5 </t>
    </r>
    <r>
      <rPr>
        <sz val="11"/>
        <color theme="1"/>
        <rFont val="Calibri"/>
        <family val="2"/>
      </rPr>
      <t xml:space="preserve">× </t>
    </r>
    <r>
      <rPr>
        <sz val="11"/>
        <color theme="1"/>
        <rFont val="Calibri"/>
        <family val="2"/>
        <scheme val="minor"/>
      </rPr>
      <t>Variance</t>
    </r>
  </si>
  <si>
    <t>Return Volatility and Wealth</t>
  </si>
  <si>
    <t xml:space="preserve">This spreadsheet allows you to get a feel for the effect of return volatility on wealth. </t>
  </si>
  <si>
    <t xml:space="preserve">Standard Deviation of Returns </t>
  </si>
  <si>
    <t xml:space="preserve">Average Return </t>
  </si>
  <si>
    <t xml:space="preserve">Realized Average Return </t>
  </si>
  <si>
    <t xml:space="preserve">Realized Standard Deviation of Returns </t>
  </si>
  <si>
    <t>Case 1: Volatility without Uncertainty</t>
  </si>
  <si>
    <t>Case 2: Volatility with Uncertainty</t>
  </si>
  <si>
    <t>[Note: The worksheets are protected (without any password) to avoid accidental modifications.</t>
  </si>
  <si>
    <t>Unprotect them if you need to.]</t>
  </si>
  <si>
    <r>
      <t xml:space="preserve">The returns for the investments come from the </t>
    </r>
    <r>
      <rPr>
        <b/>
        <sz val="11"/>
        <color theme="1"/>
        <rFont val="Calibri"/>
        <family val="2"/>
        <scheme val="minor"/>
      </rPr>
      <t>same</t>
    </r>
    <r>
      <rPr>
        <sz val="11"/>
        <color theme="1"/>
        <rFont val="Calibri"/>
        <family val="2"/>
        <scheme val="minor"/>
      </rPr>
      <t xml:space="preserve"> normally distributed random variable.</t>
    </r>
  </si>
  <si>
    <r>
      <t xml:space="preserve">The returns for the investments come from </t>
    </r>
    <r>
      <rPr>
        <b/>
        <sz val="11"/>
        <color theme="1"/>
        <rFont val="Calibri"/>
        <family val="2"/>
        <scheme val="minor"/>
      </rPr>
      <t>different</t>
    </r>
    <r>
      <rPr>
        <sz val="11"/>
        <color theme="1"/>
        <rFont val="Calibri"/>
        <family val="2"/>
        <scheme val="minor"/>
      </rPr>
      <t xml:space="preserve"> normally distributed random variables.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</si>
</sst>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0.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3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9" fillId="0" borderId="6" applyNumberFormat="0" applyFill="0" applyAlignment="0" applyProtection="0"/>
  </cellStyleXfs>
  <cellXfs count="27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10" fontId="0" fillId="0" borderId="0" xfId="1" applyNumberFormat="1" applyFont="1"/>
    <xf numFmtId="0" fontId="6" fillId="0" borderId="0" xfId="0" applyFont="1" applyAlignment="1"/>
    <xf numFmtId="0" fontId="5" fillId="0" borderId="0" xfId="0" applyFont="1" applyAlignment="1"/>
    <xf numFmtId="0" fontId="4" fillId="0" borderId="0" xfId="0" applyFont="1" applyAlignment="1"/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0" fillId="0" borderId="4" xfId="0" applyBorder="1" applyAlignment="1">
      <alignment horizontal="right"/>
    </xf>
    <xf numFmtId="0" fontId="3" fillId="2" borderId="2" xfId="3" applyProtection="1">
      <protection locked="0"/>
    </xf>
    <xf numFmtId="10" fontId="3" fillId="2" borderId="5" xfId="3" applyNumberFormat="1" applyBorder="1" applyProtection="1">
      <protection locked="0"/>
    </xf>
    <xf numFmtId="10" fontId="3" fillId="2" borderId="2" xfId="3" applyNumberFormat="1" applyProtection="1">
      <protection locked="0"/>
    </xf>
    <xf numFmtId="0" fontId="2" fillId="0" borderId="1" xfId="2" applyAlignment="1">
      <alignment horizontal="right"/>
    </xf>
    <xf numFmtId="0" fontId="10" fillId="0" borderId="0" xfId="0" applyFont="1"/>
    <xf numFmtId="0" fontId="0" fillId="0" borderId="0" xfId="0" applyProtection="1">
      <protection locked="0"/>
    </xf>
    <xf numFmtId="10" fontId="0" fillId="0" borderId="0" xfId="1" applyNumberFormat="1" applyFont="1" applyProtection="1">
      <protection hidden="1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2" fillId="0" borderId="1" xfId="2" applyAlignment="1">
      <alignment horizontal="center"/>
    </xf>
    <xf numFmtId="0" fontId="9" fillId="0" borderId="6" xfId="4" applyAlignment="1">
      <alignment horizontal="center"/>
    </xf>
  </cellXfs>
  <cellStyles count="5">
    <cellStyle name="Heading 2" xfId="4" builtinId="17"/>
    <cellStyle name="Heading 3" xfId="2" builtinId="18"/>
    <cellStyle name="Input" xfId="3" builtinId="20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8</xdr:row>
      <xdr:rowOff>0</xdr:rowOff>
    </xdr:from>
    <xdr:to>
      <xdr:col>15</xdr:col>
      <xdr:colOff>571499</xdr:colOff>
      <xdr:row>19</xdr:row>
      <xdr:rowOff>133350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8982074" y="1463040"/>
          <a:ext cx="2482215" cy="2186940"/>
          <a:chOff x="8715374" y="3848100"/>
          <a:chExt cx="2390775" cy="2286000"/>
        </a:xfrm>
      </xdr:grpSpPr>
      <xdr:sp macro="" textlink="">
        <xdr:nvSpPr>
          <xdr:cNvPr id="2" name="Text Box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715375" y="3848100"/>
            <a:ext cx="2381250" cy="733425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Observe:</a:t>
            </a:r>
          </a:p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At the same level of average return, the terminal wealth decreases as standard deviation of return increases.</a:t>
            </a:r>
          </a:p>
        </xdr:txBody>
      </xdr:sp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715374" y="4610100"/>
            <a:ext cx="2390775" cy="1524000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Experiment:</a:t>
            </a:r>
            <a:endParaRPr lang="en-US" sz="1000" b="0" i="0" strike="noStrike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Fine tune the average returns so that terminal wealth for different levels of standard deviations is the same. You should find that the ending wealths will be equal if</a:t>
            </a:r>
            <a:r>
              <a:rPr lang="en-US" sz="1000" b="0" i="0" strike="noStrike" baseline="0">
                <a:solidFill>
                  <a:srgbClr val="000000"/>
                </a:solidFill>
                <a:latin typeface="Arial"/>
                <a:cs typeface="Arial"/>
              </a:rPr>
              <a:t> average returns minus one half of variance are equal. So, as variance increases, average return must also increase to leave the terminal wealth unchanged.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316230</xdr:colOff>
          <xdr:row>3</xdr:row>
          <xdr:rowOff>11430</xdr:rowOff>
        </xdr:from>
        <xdr:to>
          <xdr:col>11</xdr:col>
          <xdr:colOff>19050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8</xdr:row>
      <xdr:rowOff>0</xdr:rowOff>
    </xdr:from>
    <xdr:to>
      <xdr:col>15</xdr:col>
      <xdr:colOff>571500</xdr:colOff>
      <xdr:row>19</xdr:row>
      <xdr:rowOff>133350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496300" y="1524000"/>
          <a:ext cx="2390775" cy="2286000"/>
          <a:chOff x="8677275" y="1457325"/>
          <a:chExt cx="2390775" cy="2286000"/>
        </a:xfrm>
      </xdr:grpSpPr>
      <xdr:sp macro="" textlink="">
        <xdr:nvSpPr>
          <xdr:cNvPr id="2" name="Text Box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77275" y="1457325"/>
            <a:ext cx="2381250" cy="733425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Observe:</a:t>
            </a:r>
          </a:p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At the same level of average return, the terminal wealth decreases as standard deviation of return increases.</a:t>
            </a:r>
          </a:p>
        </xdr:txBody>
      </xdr:sp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77275" y="2219325"/>
            <a:ext cx="2390775" cy="1524000"/>
          </a:xfrm>
          <a:prstGeom prst="rect">
            <a:avLst/>
          </a:prstGeom>
          <a:solidFill>
            <a:srgbClr val="CCFFCC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strike="noStrike">
                <a:solidFill>
                  <a:srgbClr val="000000"/>
                </a:solidFill>
                <a:latin typeface="Arial"/>
                <a:cs typeface="Arial"/>
              </a:rPr>
              <a:t>Experiment:</a:t>
            </a:r>
            <a:endParaRPr lang="en-US" sz="1000" b="0" i="0" strike="noStrike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Fine tune the average returns so that terminal wealth for different levels of standard deviations is the same. You should find that the ending wealths will be equal if</a:t>
            </a:r>
            <a:r>
              <a:rPr lang="en-US" sz="1000" b="0" i="0" strike="noStrike" baseline="0">
                <a:solidFill>
                  <a:srgbClr val="000000"/>
                </a:solidFill>
                <a:latin typeface="Arial"/>
                <a:cs typeface="Arial"/>
              </a:rPr>
              <a:t> average returns minus one half of variance are equal. So, as variance increases, average return must also increase to leave the terminal wealth unchanged.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316230</xdr:colOff>
          <xdr:row>3</xdr:row>
          <xdr:rowOff>11430</xdr:rowOff>
        </xdr:from>
        <xdr:to>
          <xdr:col>11</xdr:col>
          <xdr:colOff>19050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Trial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4"/>
  <sheetViews>
    <sheetView showGridLines="0" tabSelected="1" workbookViewId="0">
      <selection sqref="A1:I1"/>
    </sheetView>
  </sheetViews>
  <sheetFormatPr defaultRowHeight="14.4" x14ac:dyDescent="0.55000000000000004"/>
  <sheetData>
    <row r="1" spans="1:10" ht="20.399999999999999" x14ac:dyDescent="0.75">
      <c r="A1" s="19" t="s">
        <v>39</v>
      </c>
      <c r="B1" s="19"/>
      <c r="C1" s="19"/>
      <c r="D1" s="19"/>
      <c r="E1" s="19"/>
      <c r="F1" s="19"/>
      <c r="G1" s="19"/>
      <c r="H1" s="19"/>
      <c r="I1" s="19"/>
      <c r="J1" s="4"/>
    </row>
    <row r="2" spans="1:10" ht="18.3" x14ac:dyDescent="0.7">
      <c r="A2" s="20" t="s">
        <v>0</v>
      </c>
      <c r="B2" s="20"/>
      <c r="C2" s="20"/>
      <c r="D2" s="20"/>
      <c r="E2" s="20"/>
      <c r="F2" s="20"/>
      <c r="G2" s="20"/>
      <c r="H2" s="20"/>
      <c r="I2" s="20"/>
      <c r="J2" s="5"/>
    </row>
    <row r="4" spans="1:10" x14ac:dyDescent="0.55000000000000004">
      <c r="A4" s="21" t="s">
        <v>1</v>
      </c>
      <c r="B4" s="21"/>
      <c r="C4" s="21"/>
      <c r="D4" s="21"/>
      <c r="E4" s="21"/>
      <c r="F4" s="21"/>
      <c r="G4" s="21"/>
      <c r="H4" s="21"/>
      <c r="I4" s="21"/>
      <c r="J4" s="6"/>
    </row>
    <row r="6" spans="1:10" s="16" customFormat="1" x14ac:dyDescent="0.55000000000000004">
      <c r="A6" s="16" t="s">
        <v>47</v>
      </c>
    </row>
    <row r="7" spans="1:10" s="16" customFormat="1" x14ac:dyDescent="0.55000000000000004">
      <c r="A7" s="16" t="s">
        <v>48</v>
      </c>
    </row>
    <row r="8" spans="1:10" s="16" customFormat="1" x14ac:dyDescent="0.55000000000000004"/>
    <row r="9" spans="1:10" x14ac:dyDescent="0.55000000000000004">
      <c r="A9" t="s">
        <v>40</v>
      </c>
    </row>
    <row r="11" spans="1:10" x14ac:dyDescent="0.55000000000000004">
      <c r="A11" s="10" t="s">
        <v>26</v>
      </c>
    </row>
    <row r="12" spans="1:10" x14ac:dyDescent="0.55000000000000004">
      <c r="A12" s="10" t="s">
        <v>27</v>
      </c>
    </row>
    <row r="13" spans="1:10" x14ac:dyDescent="0.55000000000000004">
      <c r="A13" s="10" t="s">
        <v>28</v>
      </c>
    </row>
    <row r="14" spans="1:10" x14ac:dyDescent="0.55000000000000004">
      <c r="A14" s="10" t="s">
        <v>29</v>
      </c>
    </row>
    <row r="15" spans="1:10" x14ac:dyDescent="0.55000000000000004">
      <c r="A15" s="10" t="s">
        <v>25</v>
      </c>
    </row>
    <row r="17" spans="1:1" x14ac:dyDescent="0.55000000000000004">
      <c r="A17" t="s">
        <v>2</v>
      </c>
    </row>
    <row r="19" spans="1:1" x14ac:dyDescent="0.55000000000000004">
      <c r="A19" t="s">
        <v>30</v>
      </c>
    </row>
    <row r="20" spans="1:1" x14ac:dyDescent="0.55000000000000004">
      <c r="A20" t="s">
        <v>31</v>
      </c>
    </row>
    <row r="21" spans="1:1" x14ac:dyDescent="0.55000000000000004">
      <c r="A21" t="s">
        <v>32</v>
      </c>
    </row>
    <row r="22" spans="1:1" x14ac:dyDescent="0.55000000000000004">
      <c r="A22" t="s">
        <v>33</v>
      </c>
    </row>
    <row r="23" spans="1:1" x14ac:dyDescent="0.55000000000000004">
      <c r="A23" t="s">
        <v>34</v>
      </c>
    </row>
    <row r="24" spans="1:1" x14ac:dyDescent="0.55000000000000004">
      <c r="A24" t="s">
        <v>35</v>
      </c>
    </row>
    <row r="26" spans="1:1" x14ac:dyDescent="0.55000000000000004">
      <c r="A26" t="s">
        <v>17</v>
      </c>
    </row>
    <row r="27" spans="1:1" x14ac:dyDescent="0.55000000000000004">
      <c r="A27" t="s">
        <v>18</v>
      </c>
    </row>
    <row r="28" spans="1:1" x14ac:dyDescent="0.55000000000000004">
      <c r="A28" t="s">
        <v>19</v>
      </c>
    </row>
    <row r="29" spans="1:1" x14ac:dyDescent="0.55000000000000004">
      <c r="A29" t="s">
        <v>20</v>
      </c>
    </row>
    <row r="30" spans="1:1" x14ac:dyDescent="0.55000000000000004">
      <c r="A30" t="s">
        <v>21</v>
      </c>
    </row>
    <row r="31" spans="1:1" x14ac:dyDescent="0.55000000000000004">
      <c r="A31" t="s">
        <v>22</v>
      </c>
    </row>
    <row r="33" spans="1:1" x14ac:dyDescent="0.55000000000000004">
      <c r="A33" t="s">
        <v>36</v>
      </c>
    </row>
    <row r="34" spans="1:1" x14ac:dyDescent="0.55000000000000004">
      <c r="A34" t="s">
        <v>37</v>
      </c>
    </row>
  </sheetData>
  <sheetProtection sheet="1" objects="1" scenarios="1"/>
  <mergeCells count="3">
    <mergeCell ref="A1:I1"/>
    <mergeCell ref="A2:I2"/>
    <mergeCell ref="A4:I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5"/>
  <sheetViews>
    <sheetView showGridLines="0" workbookViewId="0">
      <selection activeCell="K4" sqref="K4"/>
    </sheetView>
  </sheetViews>
  <sheetFormatPr defaultRowHeight="14.4" x14ac:dyDescent="0.55000000000000004"/>
  <cols>
    <col min="1" max="1" width="26.68359375" customWidth="1"/>
  </cols>
  <sheetData>
    <row r="1" spans="1:12" x14ac:dyDescent="0.55000000000000004">
      <c r="A1" s="22" t="s">
        <v>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x14ac:dyDescent="0.55000000000000004">
      <c r="A2" s="22" t="s">
        <v>49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3" spans="1:12" x14ac:dyDescent="0.55000000000000004">
      <c r="I3" s="23" t="s">
        <v>23</v>
      </c>
      <c r="J3" s="24"/>
      <c r="K3" s="12">
        <v>65</v>
      </c>
    </row>
    <row r="4" spans="1:12" x14ac:dyDescent="0.55000000000000004">
      <c r="C4" s="11" t="s">
        <v>10</v>
      </c>
      <c r="D4" s="11" t="s">
        <v>11</v>
      </c>
      <c r="E4" s="11" t="s">
        <v>12</v>
      </c>
      <c r="F4" s="11" t="s">
        <v>13</v>
      </c>
    </row>
    <row r="5" spans="1:12" x14ac:dyDescent="0.55000000000000004">
      <c r="A5" s="23" t="s">
        <v>42</v>
      </c>
      <c r="B5" s="24"/>
      <c r="C5" s="13">
        <v>0.1</v>
      </c>
      <c r="D5" s="13">
        <v>0.1</v>
      </c>
      <c r="E5" s="13">
        <v>0.1</v>
      </c>
      <c r="F5" s="13">
        <v>0.1</v>
      </c>
    </row>
    <row r="6" spans="1:12" x14ac:dyDescent="0.55000000000000004">
      <c r="A6" s="23" t="s">
        <v>41</v>
      </c>
      <c r="B6" s="24"/>
      <c r="C6" s="14">
        <v>0</v>
      </c>
      <c r="D6" s="14">
        <v>0.05</v>
      </c>
      <c r="E6" s="14">
        <v>0.1</v>
      </c>
      <c r="F6" s="14">
        <v>0.2</v>
      </c>
    </row>
    <row r="8" spans="1:12" x14ac:dyDescent="0.55000000000000004">
      <c r="A8" s="23" t="s">
        <v>38</v>
      </c>
      <c r="B8" s="23"/>
      <c r="C8" s="8">
        <f>C5-0.5*C6^2</f>
        <v>0.1</v>
      </c>
      <c r="D8" s="8">
        <f>D5-0.5*D6^2</f>
        <v>9.8750000000000004E-2</v>
      </c>
      <c r="E8" s="8">
        <f>E5-0.5*E6^2</f>
        <v>9.5000000000000001E-2</v>
      </c>
      <c r="F8" s="8">
        <f>F5-0.5*F6^2</f>
        <v>0.08</v>
      </c>
    </row>
    <row r="10" spans="1:12" ht="17.100000000000001" thickBot="1" x14ac:dyDescent="0.7">
      <c r="A10" s="26" t="s">
        <v>45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</row>
    <row r="11" spans="1:12" ht="14.7" thickTop="1" x14ac:dyDescent="0.55000000000000004"/>
    <row r="12" spans="1:12" ht="14.7" thickBot="1" x14ac:dyDescent="0.6">
      <c r="B12" s="15" t="s">
        <v>14</v>
      </c>
      <c r="C12" s="25" t="s">
        <v>15</v>
      </c>
      <c r="D12" s="25"/>
      <c r="E12" s="25"/>
      <c r="F12" s="25"/>
      <c r="H12" s="25" t="s">
        <v>16</v>
      </c>
      <c r="I12" s="25"/>
      <c r="J12" s="25"/>
      <c r="K12" s="25"/>
    </row>
    <row r="13" spans="1:12" x14ac:dyDescent="0.55000000000000004">
      <c r="B13">
        <v>1997</v>
      </c>
      <c r="H13" s="1">
        <v>1000</v>
      </c>
      <c r="I13" s="1">
        <f>H13</f>
        <v>1000</v>
      </c>
      <c r="J13" s="1">
        <f>I13</f>
        <v>1000</v>
      </c>
      <c r="K13" s="1">
        <f>J13</f>
        <v>1000</v>
      </c>
    </row>
    <row r="14" spans="1:12" x14ac:dyDescent="0.55000000000000004">
      <c r="B14">
        <f>B13+1</f>
        <v>1998</v>
      </c>
      <c r="C14" s="18">
        <f>C$5+C$6*'Random Numbers'!$H8</f>
        <v>0.1</v>
      </c>
      <c r="D14" s="18">
        <f>D$5+D$6*'Random Numbers'!$H8</f>
        <v>3.881821783238662E-3</v>
      </c>
      <c r="E14" s="18">
        <f>E$5+E$6*'Random Numbers'!$H8</f>
        <v>-9.2236356433522682E-2</v>
      </c>
      <c r="F14" s="18">
        <f>F$5+F$6*'Random Numbers'!$H8</f>
        <v>-0.28447271286704534</v>
      </c>
      <c r="H14" s="1">
        <f t="shared" ref="H14:K23" si="0">H13*(1+C14)</f>
        <v>1100</v>
      </c>
      <c r="I14" s="1">
        <f t="shared" si="0"/>
        <v>1003.8818217832386</v>
      </c>
      <c r="J14" s="1">
        <f t="shared" si="0"/>
        <v>907.7636435664773</v>
      </c>
      <c r="K14" s="1">
        <f t="shared" si="0"/>
        <v>715.52728713295471</v>
      </c>
    </row>
    <row r="15" spans="1:12" x14ac:dyDescent="0.55000000000000004">
      <c r="B15">
        <f t="shared" ref="B15:B23" si="1">B14+1</f>
        <v>1999</v>
      </c>
      <c r="C15" s="18">
        <f>C$5+C$6*'Random Numbers'!$H9</f>
        <v>0.1</v>
      </c>
      <c r="D15" s="18">
        <f>D$5+D$6*'Random Numbers'!$H9</f>
        <v>0.13590162761542635</v>
      </c>
      <c r="E15" s="18">
        <f>E$5+E$6*'Random Numbers'!$H9</f>
        <v>0.17180325523085266</v>
      </c>
      <c r="F15" s="18">
        <f>F$5+F$6*'Random Numbers'!$H9</f>
        <v>0.24360651046170531</v>
      </c>
      <c r="H15" s="1">
        <f t="shared" si="0"/>
        <v>1210</v>
      </c>
      <c r="I15" s="1">
        <f t="shared" si="0"/>
        <v>1140.3109952971201</v>
      </c>
      <c r="J15" s="1">
        <f t="shared" si="0"/>
        <v>1063.7203925114175</v>
      </c>
      <c r="K15" s="1">
        <f t="shared" si="0"/>
        <v>889.83439269154451</v>
      </c>
    </row>
    <row r="16" spans="1:12" x14ac:dyDescent="0.55000000000000004">
      <c r="B16">
        <f t="shared" si="1"/>
        <v>2000</v>
      </c>
      <c r="C16" s="18">
        <f>C$5+C$6*'Random Numbers'!$H10</f>
        <v>0.1</v>
      </c>
      <c r="D16" s="18">
        <f>D$5+D$6*'Random Numbers'!$H10</f>
        <v>4.5777977054109131E-2</v>
      </c>
      <c r="E16" s="18">
        <f>E$5+E$6*'Random Numbers'!$H10</f>
        <v>-8.4440458917817429E-3</v>
      </c>
      <c r="F16" s="18">
        <f>F$5+F$6*'Random Numbers'!$H10</f>
        <v>-0.11688809178356349</v>
      </c>
      <c r="H16" s="1">
        <f t="shared" si="0"/>
        <v>1331</v>
      </c>
      <c r="I16" s="1">
        <f t="shared" si="0"/>
        <v>1192.51212587438</v>
      </c>
      <c r="J16" s="1">
        <f t="shared" si="0"/>
        <v>1054.7382887010269</v>
      </c>
      <c r="K16" s="1">
        <f t="shared" si="0"/>
        <v>785.82334852644374</v>
      </c>
    </row>
    <row r="17" spans="1:11" x14ac:dyDescent="0.55000000000000004">
      <c r="B17">
        <f t="shared" si="1"/>
        <v>2001</v>
      </c>
      <c r="C17" s="18">
        <f>C$5+C$6*'Random Numbers'!$H11</f>
        <v>0.1</v>
      </c>
      <c r="D17" s="18">
        <f>D$5+D$6*'Random Numbers'!$H11</f>
        <v>0.18082787509846893</v>
      </c>
      <c r="E17" s="18">
        <f>E$5+E$6*'Random Numbers'!$H11</f>
        <v>0.26165575019693788</v>
      </c>
      <c r="F17" s="18">
        <f>F$5+F$6*'Random Numbers'!$H11</f>
        <v>0.42331150039387566</v>
      </c>
      <c r="H17" s="1">
        <f t="shared" si="0"/>
        <v>1464.1000000000001</v>
      </c>
      <c r="I17" s="1">
        <f t="shared" si="0"/>
        <v>1408.1515596254019</v>
      </c>
      <c r="J17" s="1">
        <f t="shared" si="0"/>
        <v>1330.7166268925287</v>
      </c>
      <c r="K17" s="1">
        <f t="shared" si="0"/>
        <v>1118.4714092357121</v>
      </c>
    </row>
    <row r="18" spans="1:11" x14ac:dyDescent="0.55000000000000004">
      <c r="B18">
        <f t="shared" si="1"/>
        <v>2002</v>
      </c>
      <c r="C18" s="18">
        <f>C$5+C$6*'Random Numbers'!$H12</f>
        <v>0.1</v>
      </c>
      <c r="D18" s="18">
        <f>D$5+D$6*'Random Numbers'!$H12</f>
        <v>0.10597303854984458</v>
      </c>
      <c r="E18" s="18">
        <f>E$5+E$6*'Random Numbers'!$H12</f>
        <v>0.11194607709968916</v>
      </c>
      <c r="F18" s="18">
        <f>F$5+F$6*'Random Numbers'!$H12</f>
        <v>0.12389215419937832</v>
      </c>
      <c r="H18" s="1">
        <f t="shared" si="0"/>
        <v>1610.5100000000002</v>
      </c>
      <c r="I18" s="1">
        <f t="shared" si="0"/>
        <v>1557.3776591376084</v>
      </c>
      <c r="J18" s="1">
        <f t="shared" si="0"/>
        <v>1479.6851330044781</v>
      </c>
      <c r="K18" s="1">
        <f t="shared" si="0"/>
        <v>1257.0412415363389</v>
      </c>
    </row>
    <row r="19" spans="1:11" x14ac:dyDescent="0.55000000000000004">
      <c r="B19">
        <f t="shared" si="1"/>
        <v>2003</v>
      </c>
      <c r="C19" s="18">
        <f>C$5+C$6*'Random Numbers'!$H13</f>
        <v>0.1</v>
      </c>
      <c r="D19" s="18">
        <f>D$5+D$6*'Random Numbers'!$H13</f>
        <v>8.4475641333970286E-2</v>
      </c>
      <c r="E19" s="18">
        <f>E$5+E$6*'Random Numbers'!$H13</f>
        <v>6.8951282667940567E-2</v>
      </c>
      <c r="F19" s="18">
        <f>F$5+F$6*'Random Numbers'!$H13</f>
        <v>3.7902565335881135E-2</v>
      </c>
      <c r="H19" s="1">
        <f t="shared" si="0"/>
        <v>1771.5610000000004</v>
      </c>
      <c r="I19" s="1">
        <f t="shared" si="0"/>
        <v>1688.938135692455</v>
      </c>
      <c r="J19" s="1">
        <f t="shared" si="0"/>
        <v>1581.711320869819</v>
      </c>
      <c r="K19" s="1">
        <f t="shared" si="0"/>
        <v>1304.6863293235672</v>
      </c>
    </row>
    <row r="20" spans="1:11" x14ac:dyDescent="0.55000000000000004">
      <c r="B20">
        <f t="shared" si="1"/>
        <v>2004</v>
      </c>
      <c r="C20" s="18">
        <f>C$5+C$6*'Random Numbers'!$H14</f>
        <v>0.1</v>
      </c>
      <c r="D20" s="18">
        <f>D$5+D$6*'Random Numbers'!$H14</f>
        <v>0.11251833188309589</v>
      </c>
      <c r="E20" s="18">
        <f>E$5+E$6*'Random Numbers'!$H14</f>
        <v>0.12503666376619177</v>
      </c>
      <c r="F20" s="18">
        <f>F$5+F$6*'Random Numbers'!$H14</f>
        <v>0.15007332753238353</v>
      </c>
      <c r="H20" s="1">
        <f t="shared" si="0"/>
        <v>1948.7171000000005</v>
      </c>
      <c r="I20" s="1">
        <f t="shared" si="0"/>
        <v>1878.9746373743158</v>
      </c>
      <c r="J20" s="1">
        <f t="shared" si="0"/>
        <v>1779.4832274725975</v>
      </c>
      <c r="K20" s="1">
        <f t="shared" si="0"/>
        <v>1500.484948151166</v>
      </c>
    </row>
    <row r="21" spans="1:11" x14ac:dyDescent="0.55000000000000004">
      <c r="B21">
        <f t="shared" si="1"/>
        <v>2005</v>
      </c>
      <c r="C21" s="18">
        <f>C$5+C$6*'Random Numbers'!$H15</f>
        <v>0.1</v>
      </c>
      <c r="D21" s="18">
        <f>D$5+D$6*'Random Numbers'!$H15</f>
        <v>5.8039796928632155E-2</v>
      </c>
      <c r="E21" s="18">
        <f>E$5+E$6*'Random Numbers'!$H15</f>
        <v>1.6079593857264304E-2</v>
      </c>
      <c r="F21" s="18">
        <f>F$5+F$6*'Random Numbers'!$H15</f>
        <v>-6.7840812285471397E-2</v>
      </c>
      <c r="H21" s="1">
        <f t="shared" si="0"/>
        <v>2143.5888100000006</v>
      </c>
      <c r="I21" s="1">
        <f t="shared" si="0"/>
        <v>1988.0299437615713</v>
      </c>
      <c r="J21" s="1">
        <f t="shared" si="0"/>
        <v>1808.0965950461705</v>
      </c>
      <c r="K21" s="1">
        <f t="shared" si="0"/>
        <v>1398.6908304464673</v>
      </c>
    </row>
    <row r="22" spans="1:11" x14ac:dyDescent="0.55000000000000004">
      <c r="B22">
        <f t="shared" si="1"/>
        <v>2006</v>
      </c>
      <c r="C22" s="18">
        <f>C$5+C$6*'Random Numbers'!$H16</f>
        <v>0.1</v>
      </c>
      <c r="D22" s="18">
        <f>D$5+D$6*'Random Numbers'!$H16</f>
        <v>0.12709642464437412</v>
      </c>
      <c r="E22" s="18">
        <f>E$5+E$6*'Random Numbers'!$H16</f>
        <v>0.15419284928874824</v>
      </c>
      <c r="F22" s="18">
        <f>F$5+F$6*'Random Numbers'!$H16</f>
        <v>0.20838569857749645</v>
      </c>
      <c r="H22" s="1">
        <f t="shared" si="0"/>
        <v>2357.9476910000008</v>
      </c>
      <c r="I22" s="1">
        <f t="shared" si="0"/>
        <v>2240.7014416996235</v>
      </c>
      <c r="J22" s="1">
        <f t="shared" si="0"/>
        <v>2086.8921608256237</v>
      </c>
      <c r="K22" s="1">
        <f t="shared" si="0"/>
        <v>1690.1579962429932</v>
      </c>
    </row>
    <row r="23" spans="1:11" x14ac:dyDescent="0.55000000000000004">
      <c r="B23">
        <f t="shared" si="1"/>
        <v>2007</v>
      </c>
      <c r="C23" s="18">
        <f>C$5+C$6*'Random Numbers'!$H17</f>
        <v>0.1</v>
      </c>
      <c r="D23" s="18">
        <f>D$5+D$6*'Random Numbers'!$H17</f>
        <v>0.14550746510883994</v>
      </c>
      <c r="E23" s="18">
        <f>E$5+E$6*'Random Numbers'!$H17</f>
        <v>0.1910149302176799</v>
      </c>
      <c r="F23" s="18">
        <f>F$5+F$6*'Random Numbers'!$H17</f>
        <v>0.28202986043535982</v>
      </c>
      <c r="H23" s="1">
        <f t="shared" si="0"/>
        <v>2593.7424601000012</v>
      </c>
      <c r="I23" s="1">
        <f t="shared" si="0"/>
        <v>2566.7402285470589</v>
      </c>
      <c r="J23" s="1">
        <f t="shared" si="0"/>
        <v>2485.5197212975531</v>
      </c>
      <c r="K23" s="1">
        <f t="shared" si="0"/>
        <v>2166.8330200371124</v>
      </c>
    </row>
    <row r="25" spans="1:11" x14ac:dyDescent="0.55000000000000004">
      <c r="A25" s="23" t="s">
        <v>43</v>
      </c>
      <c r="B25" s="23"/>
      <c r="C25" s="3">
        <f>AVERAGE(C14:C23)</f>
        <v>9.9999999999999992E-2</v>
      </c>
      <c r="D25" s="3">
        <f>AVERAGE(D14:D23)</f>
        <v>0.1</v>
      </c>
      <c r="E25" s="3">
        <f>AVERAGE(E14:E23)</f>
        <v>0.1</v>
      </c>
      <c r="F25" s="3">
        <f>AVERAGE(F14:F23)</f>
        <v>0.1</v>
      </c>
    </row>
    <row r="26" spans="1:11" x14ac:dyDescent="0.55000000000000004">
      <c r="A26" s="23" t="s">
        <v>44</v>
      </c>
      <c r="B26" s="23"/>
      <c r="C26" s="3">
        <f>STDEVP(C14:C23)</f>
        <v>1.3877787807814457E-17</v>
      </c>
      <c r="D26" s="3">
        <f>STDEVP(D14:D23)</f>
        <v>0.05</v>
      </c>
      <c r="E26" s="3">
        <f>STDEVP(E14:E23)</f>
        <v>0.10000000000000002</v>
      </c>
      <c r="F26" s="3">
        <f>STDEVP(F14:F23)</f>
        <v>0.2</v>
      </c>
    </row>
    <row r="29" spans="1:11" ht="17.100000000000001" thickBot="1" x14ac:dyDescent="0.7">
      <c r="A29" s="26" t="s">
        <v>46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ht="14.7" thickTop="1" x14ac:dyDescent="0.55000000000000004"/>
    <row r="31" spans="1:11" ht="14.7" thickBot="1" x14ac:dyDescent="0.6">
      <c r="B31" s="15" t="s">
        <v>14</v>
      </c>
      <c r="C31" s="25" t="s">
        <v>15</v>
      </c>
      <c r="D31" s="25"/>
      <c r="E31" s="25"/>
      <c r="F31" s="25"/>
      <c r="H31" s="25" t="s">
        <v>16</v>
      </c>
      <c r="I31" s="25"/>
      <c r="J31" s="25"/>
      <c r="K31" s="25"/>
    </row>
    <row r="32" spans="1:11" x14ac:dyDescent="0.55000000000000004">
      <c r="B32">
        <v>1997</v>
      </c>
      <c r="H32" s="1">
        <v>1000</v>
      </c>
      <c r="I32" s="1">
        <f>H32</f>
        <v>1000</v>
      </c>
      <c r="J32" s="1">
        <f>I32</f>
        <v>1000</v>
      </c>
      <c r="K32" s="1">
        <f>J32</f>
        <v>1000</v>
      </c>
    </row>
    <row r="33" spans="1:11" x14ac:dyDescent="0.55000000000000004">
      <c r="B33">
        <f>B32+1</f>
        <v>1998</v>
      </c>
      <c r="C33" s="3">
        <f>C$5+C$6*'Random Numbers'!$B8</f>
        <v>0.1</v>
      </c>
      <c r="D33" s="3">
        <f>D$5+D$6*'Random Numbers'!$B8</f>
        <v>-2.1308403322473163E-2</v>
      </c>
      <c r="E33" s="3">
        <f>E$5+E$6*'Random Numbers'!$B8</f>
        <v>-0.14261680664494633</v>
      </c>
      <c r="F33" s="3">
        <f>F$5+F$6*'Random Numbers'!$B8</f>
        <v>-0.3852336132898927</v>
      </c>
      <c r="H33" s="1">
        <f t="shared" ref="H33:H42" si="2">H32*(1+C33)</f>
        <v>1100</v>
      </c>
      <c r="I33" s="1">
        <f t="shared" ref="I33:I42" si="3">I32*(1+D33)</f>
        <v>978.69159667752683</v>
      </c>
      <c r="J33" s="1">
        <f t="shared" ref="J33:J42" si="4">J32*(1+E33)</f>
        <v>857.38319335505366</v>
      </c>
      <c r="K33" s="1">
        <f t="shared" ref="K33:K42" si="5">K32*(1+F33)</f>
        <v>614.76638671010733</v>
      </c>
    </row>
    <row r="34" spans="1:11" x14ac:dyDescent="0.55000000000000004">
      <c r="B34">
        <f t="shared" ref="B34:B42" si="6">B33+1</f>
        <v>1999</v>
      </c>
      <c r="C34" s="3">
        <f>C$5+C$6*'Random Numbers'!$B9</f>
        <v>0.1</v>
      </c>
      <c r="D34" s="3">
        <f>D$5+D$6*'Random Numbers'!$B9</f>
        <v>0.1307426262224908</v>
      </c>
      <c r="E34" s="3">
        <f>E$5+E$6*'Random Numbers'!$B9</f>
        <v>0.1614852524449816</v>
      </c>
      <c r="F34" s="3">
        <f>F$5+F$6*'Random Numbers'!$B9</f>
        <v>0.2229705048899632</v>
      </c>
      <c r="H34" s="1">
        <f t="shared" si="2"/>
        <v>1210</v>
      </c>
      <c r="I34" s="1">
        <f t="shared" si="3"/>
        <v>1106.6483062890295</v>
      </c>
      <c r="J34" s="1">
        <f t="shared" si="4"/>
        <v>995.83793477607901</v>
      </c>
      <c r="K34" s="1">
        <f t="shared" si="5"/>
        <v>751.84115834423835</v>
      </c>
    </row>
    <row r="35" spans="1:11" x14ac:dyDescent="0.55000000000000004">
      <c r="B35">
        <f t="shared" si="6"/>
        <v>2000</v>
      </c>
      <c r="C35" s="3">
        <f>C$5+C$6*'Random Numbers'!$B10</f>
        <v>0.1</v>
      </c>
      <c r="D35" s="3">
        <f>D$5+D$6*'Random Numbers'!$B10</f>
        <v>2.6944610706414102E-2</v>
      </c>
      <c r="E35" s="3">
        <f>E$5+E$6*'Random Numbers'!$B10</f>
        <v>-4.6110778587171802E-2</v>
      </c>
      <c r="F35" s="3">
        <f>F$5+F$6*'Random Numbers'!$B10</f>
        <v>-0.19222155717434361</v>
      </c>
      <c r="H35" s="1">
        <f t="shared" si="2"/>
        <v>1331</v>
      </c>
      <c r="I35" s="1">
        <f t="shared" si="3"/>
        <v>1136.4665140909001</v>
      </c>
      <c r="J35" s="1">
        <f t="shared" si="4"/>
        <v>949.91907225691273</v>
      </c>
      <c r="K35" s="1">
        <f t="shared" si="5"/>
        <v>607.32108013954655</v>
      </c>
    </row>
    <row r="36" spans="1:11" x14ac:dyDescent="0.55000000000000004">
      <c r="B36">
        <f t="shared" si="6"/>
        <v>2001</v>
      </c>
      <c r="C36" s="3">
        <f>C$5+C$6*'Random Numbers'!$B11</f>
        <v>0.1</v>
      </c>
      <c r="D36" s="3">
        <f>D$5+D$6*'Random Numbers'!$B11</f>
        <v>0.18248548510891852</v>
      </c>
      <c r="E36" s="3">
        <f>E$5+E$6*'Random Numbers'!$B11</f>
        <v>0.264970970217837</v>
      </c>
      <c r="F36" s="3">
        <f>F$5+F$6*'Random Numbers'!$B11</f>
        <v>0.42994194043567402</v>
      </c>
      <c r="H36" s="1">
        <f t="shared" si="2"/>
        <v>1464.1000000000001</v>
      </c>
      <c r="I36" s="1">
        <f t="shared" si="3"/>
        <v>1343.8551572248198</v>
      </c>
      <c r="J36" s="1">
        <f t="shared" si="4"/>
        <v>1201.6200504612546</v>
      </c>
      <c r="K36" s="1">
        <f t="shared" si="5"/>
        <v>868.4338838022328</v>
      </c>
    </row>
    <row r="37" spans="1:11" x14ac:dyDescent="0.55000000000000004">
      <c r="B37">
        <f t="shared" si="6"/>
        <v>2002</v>
      </c>
      <c r="C37" s="3">
        <f>C$5+C$6*'Random Numbers'!$B12</f>
        <v>0.1</v>
      </c>
      <c r="D37" s="3">
        <f>D$5+D$6*'Random Numbers'!$B12</f>
        <v>9.6273004398972267E-2</v>
      </c>
      <c r="E37" s="3">
        <f>E$5+E$6*'Random Numbers'!$B12</f>
        <v>9.2546008797944529E-2</v>
      </c>
      <c r="F37" s="3">
        <f>F$5+F$6*'Random Numbers'!$B12</f>
        <v>8.5092017595889052E-2</v>
      </c>
      <c r="H37" s="1">
        <f t="shared" si="2"/>
        <v>1610.5100000000002</v>
      </c>
      <c r="I37" s="1">
        <f t="shared" si="3"/>
        <v>1473.2321306879064</v>
      </c>
      <c r="J37" s="1">
        <f t="shared" si="4"/>
        <v>1312.8251902230284</v>
      </c>
      <c r="K37" s="1">
        <f t="shared" si="5"/>
        <v>942.33067512359878</v>
      </c>
    </row>
    <row r="38" spans="1:11" x14ac:dyDescent="0.55000000000000004">
      <c r="B38">
        <f t="shared" si="6"/>
        <v>2003</v>
      </c>
      <c r="C38" s="3">
        <f>C$5+C$6*'Random Numbers'!$B13</f>
        <v>0.1</v>
      </c>
      <c r="D38" s="3">
        <f>D$5+D$6*'Random Numbers'!$B13</f>
        <v>7.1513830132607842E-2</v>
      </c>
      <c r="E38" s="3">
        <f>E$5+E$6*'Random Numbers'!$B13</f>
        <v>4.3027660265215678E-2</v>
      </c>
      <c r="F38" s="3">
        <f>F$5+F$6*'Random Numbers'!$B13</f>
        <v>-1.3944679469568649E-2</v>
      </c>
      <c r="H38" s="1">
        <f t="shared" si="2"/>
        <v>1771.5610000000004</v>
      </c>
      <c r="I38" s="1">
        <f t="shared" si="3"/>
        <v>1578.5886030278214</v>
      </c>
      <c r="J38" s="1">
        <f t="shared" si="4"/>
        <v>1369.312986495562</v>
      </c>
      <c r="K38" s="1">
        <f t="shared" si="5"/>
        <v>929.19017590465796</v>
      </c>
    </row>
    <row r="39" spans="1:11" x14ac:dyDescent="0.55000000000000004">
      <c r="B39">
        <f t="shared" si="6"/>
        <v>2004</v>
      </c>
      <c r="C39" s="3">
        <f>C$5+C$6*'Random Numbers'!$B14</f>
        <v>0.1</v>
      </c>
      <c r="D39" s="3">
        <f>D$5+D$6*'Random Numbers'!$B14</f>
        <v>0.10381140807803604</v>
      </c>
      <c r="E39" s="3">
        <f>E$5+E$6*'Random Numbers'!$B14</f>
        <v>0.10762281615607208</v>
      </c>
      <c r="F39" s="3">
        <f>F$5+F$6*'Random Numbers'!$B14</f>
        <v>0.11524563231214416</v>
      </c>
      <c r="H39" s="1">
        <f t="shared" si="2"/>
        <v>1948.7171000000005</v>
      </c>
      <c r="I39" s="1">
        <f t="shared" si="3"/>
        <v>1742.4641086840795</v>
      </c>
      <c r="J39" s="1">
        <f t="shared" si="4"/>
        <v>1516.682306301296</v>
      </c>
      <c r="K39" s="1">
        <f t="shared" si="5"/>
        <v>1036.2752852650228</v>
      </c>
    </row>
    <row r="40" spans="1:11" x14ac:dyDescent="0.55000000000000004">
      <c r="B40">
        <f t="shared" si="6"/>
        <v>2005</v>
      </c>
      <c r="C40" s="3">
        <f>C$5+C$6*'Random Numbers'!$B15</f>
        <v>0.1</v>
      </c>
      <c r="D40" s="3">
        <f>D$5+D$6*'Random Numbers'!$B15</f>
        <v>4.1066903375030966E-2</v>
      </c>
      <c r="E40" s="3">
        <f>E$5+E$6*'Random Numbers'!$B15</f>
        <v>-1.7866193249938073E-2</v>
      </c>
      <c r="F40" s="3">
        <f>F$5+F$6*'Random Numbers'!$B15</f>
        <v>-0.13573238649987615</v>
      </c>
      <c r="H40" s="1">
        <f t="shared" si="2"/>
        <v>2143.5888100000006</v>
      </c>
      <c r="I40" s="1">
        <f t="shared" si="3"/>
        <v>1814.0217138698681</v>
      </c>
      <c r="J40" s="1">
        <f t="shared" si="4"/>
        <v>1489.5849671181552</v>
      </c>
      <c r="K40" s="1">
        <f t="shared" si="5"/>
        <v>895.61916772516133</v>
      </c>
    </row>
    <row r="41" spans="1:11" x14ac:dyDescent="0.55000000000000004">
      <c r="B41">
        <f t="shared" si="6"/>
        <v>2006</v>
      </c>
      <c r="C41" s="3">
        <f>C$5+C$6*'Random Numbers'!$B16</f>
        <v>0.1</v>
      </c>
      <c r="D41" s="3">
        <f>D$5+D$6*'Random Numbers'!$B16</f>
        <v>0.12060141923720949</v>
      </c>
      <c r="E41" s="3">
        <f>E$5+E$6*'Random Numbers'!$B16</f>
        <v>0.14120283847441897</v>
      </c>
      <c r="F41" s="3">
        <f>F$5+F$6*'Random Numbers'!$B16</f>
        <v>0.18240567694883794</v>
      </c>
      <c r="H41" s="1">
        <f t="shared" si="2"/>
        <v>2357.9476910000008</v>
      </c>
      <c r="I41" s="1">
        <f t="shared" si="3"/>
        <v>2032.7953070896895</v>
      </c>
      <c r="J41" s="1">
        <f t="shared" si="4"/>
        <v>1699.918592624063</v>
      </c>
      <c r="K41" s="1">
        <f t="shared" si="5"/>
        <v>1058.9851883024244</v>
      </c>
    </row>
    <row r="42" spans="1:11" x14ac:dyDescent="0.55000000000000004">
      <c r="B42">
        <f t="shared" si="6"/>
        <v>2007</v>
      </c>
      <c r="C42" s="3">
        <f>C$5+C$6*'Random Numbers'!$B17</f>
        <v>0.1</v>
      </c>
      <c r="D42" s="3">
        <f>D$5+D$6*'Random Numbers'!$B17</f>
        <v>0.14180594714853215</v>
      </c>
      <c r="E42" s="3">
        <f>E$5+E$6*'Random Numbers'!$B17</f>
        <v>0.18361189429706429</v>
      </c>
      <c r="F42" s="3">
        <f>F$5+F$6*'Random Numbers'!$B17</f>
        <v>0.26722378859412854</v>
      </c>
      <c r="H42" s="1">
        <f t="shared" si="2"/>
        <v>2593.7424601000012</v>
      </c>
      <c r="I42" s="1">
        <f t="shared" si="3"/>
        <v>2321.0577709706345</v>
      </c>
      <c r="J42" s="1">
        <f t="shared" si="4"/>
        <v>2012.0438655665669</v>
      </c>
      <c r="K42" s="1">
        <f t="shared" si="5"/>
        <v>1341.971222385665</v>
      </c>
    </row>
    <row r="44" spans="1:11" x14ac:dyDescent="0.55000000000000004">
      <c r="A44" s="23" t="s">
        <v>43</v>
      </c>
      <c r="B44" s="23"/>
      <c r="C44" s="3">
        <f>AVERAGE(C33:C42)</f>
        <v>9.9999999999999992E-2</v>
      </c>
      <c r="D44" s="3">
        <f>AVERAGE(D33:D42)</f>
        <v>8.9393683108573888E-2</v>
      </c>
      <c r="E44" s="3">
        <f>AVERAGE(E33:E42)</f>
        <v>7.8787366217147783E-2</v>
      </c>
      <c r="F44" s="3">
        <f>AVERAGE(F33:F42)</f>
        <v>5.7574732434295582E-2</v>
      </c>
    </row>
    <row r="45" spans="1:11" x14ac:dyDescent="0.55000000000000004">
      <c r="A45" s="23" t="s">
        <v>44</v>
      </c>
      <c r="B45" s="23"/>
      <c r="C45" s="3">
        <f>STDEVP(C33:C42)</f>
        <v>1.3877787807814457E-17</v>
      </c>
      <c r="D45" s="3">
        <f>STDEVP(D33:D42)</f>
        <v>5.7586446437528596E-2</v>
      </c>
      <c r="E45" s="3">
        <f>STDEVP(E33:E42)</f>
        <v>0.11517289287505716</v>
      </c>
      <c r="F45" s="3">
        <f>STDEVP(F33:F42)</f>
        <v>0.23034578575011433</v>
      </c>
    </row>
  </sheetData>
  <sheetProtection sheet="1" objects="1" scenarios="1"/>
  <mergeCells count="16">
    <mergeCell ref="C31:F31"/>
    <mergeCell ref="H31:K31"/>
    <mergeCell ref="A10:K10"/>
    <mergeCell ref="A29:K29"/>
    <mergeCell ref="H12:K12"/>
    <mergeCell ref="C12:F12"/>
    <mergeCell ref="A8:B8"/>
    <mergeCell ref="A25:B25"/>
    <mergeCell ref="A26:B26"/>
    <mergeCell ref="A44:B44"/>
    <mergeCell ref="A45:B45"/>
    <mergeCell ref="A1:L1"/>
    <mergeCell ref="A2:L2"/>
    <mergeCell ref="I3:J3"/>
    <mergeCell ref="A5:B5"/>
    <mergeCell ref="A6:B6"/>
  </mergeCells>
  <dataValidations count="3">
    <dataValidation type="whole" allowBlank="1" showInputMessage="1" showErrorMessage="1" error="Seed must beban integer between 1 and 32767." sqref="K3">
      <formula1>1</formula1>
      <formula2>32767</formula2>
    </dataValidation>
    <dataValidation type="decimal" allowBlank="1" showInputMessage="1" showErrorMessage="1" error="Please enter a value between 5% and 20%." sqref="C5:F5">
      <formula1>0.05</formula1>
      <formula2>0.2</formula2>
    </dataValidation>
    <dataValidation type="decimal" allowBlank="1" showInputMessage="1" showErrorMessage="1" error="Please enter a value between 0% and 60%." sqref="C6:F6">
      <formula1>0</formula1>
      <formula2>0.6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Trial">
                <anchor moveWithCells="1" sizeWithCells="1">
                  <from>
                    <xdr:col>8</xdr:col>
                    <xdr:colOff>316230</xdr:colOff>
                    <xdr:row>3</xdr:row>
                    <xdr:rowOff>11430</xdr:rowOff>
                  </from>
                  <to>
                    <xdr:col>11</xdr:col>
                    <xdr:colOff>19050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45"/>
  <sheetViews>
    <sheetView showGridLines="0" workbookViewId="0">
      <selection activeCell="H9" sqref="H9"/>
    </sheetView>
  </sheetViews>
  <sheetFormatPr defaultRowHeight="14.4" x14ac:dyDescent="0.55000000000000004"/>
  <cols>
    <col min="1" max="1" width="26.68359375" customWidth="1"/>
  </cols>
  <sheetData>
    <row r="1" spans="1:12" x14ac:dyDescent="0.55000000000000004">
      <c r="A1" s="22" t="s">
        <v>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x14ac:dyDescent="0.55000000000000004">
      <c r="A2" s="22" t="s">
        <v>50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3" spans="1:12" x14ac:dyDescent="0.55000000000000004">
      <c r="I3" s="23" t="s">
        <v>23</v>
      </c>
      <c r="J3" s="24"/>
      <c r="K3" s="12">
        <v>65</v>
      </c>
    </row>
    <row r="4" spans="1:12" x14ac:dyDescent="0.55000000000000004">
      <c r="C4" s="11" t="s">
        <v>10</v>
      </c>
      <c r="D4" s="11" t="s">
        <v>11</v>
      </c>
      <c r="E4" s="11" t="s">
        <v>12</v>
      </c>
      <c r="F4" s="11" t="s">
        <v>13</v>
      </c>
    </row>
    <row r="5" spans="1:12" x14ac:dyDescent="0.55000000000000004">
      <c r="A5" s="23" t="s">
        <v>42</v>
      </c>
      <c r="B5" s="24"/>
      <c r="C5" s="13">
        <v>0.1</v>
      </c>
      <c r="D5" s="13">
        <v>0.1</v>
      </c>
      <c r="E5" s="13">
        <v>0.1</v>
      </c>
      <c r="F5" s="13">
        <v>0.1</v>
      </c>
    </row>
    <row r="6" spans="1:12" x14ac:dyDescent="0.55000000000000004">
      <c r="A6" s="23" t="s">
        <v>41</v>
      </c>
      <c r="B6" s="24"/>
      <c r="C6" s="14">
        <v>0</v>
      </c>
      <c r="D6" s="14">
        <v>0.05</v>
      </c>
      <c r="E6" s="14">
        <v>0.1</v>
      </c>
      <c r="F6" s="14">
        <v>0.2</v>
      </c>
    </row>
    <row r="8" spans="1:12" x14ac:dyDescent="0.55000000000000004">
      <c r="A8" s="23" t="s">
        <v>38</v>
      </c>
      <c r="B8" s="23"/>
      <c r="C8" s="8">
        <f>C5-0.5*C6^2</f>
        <v>0.1</v>
      </c>
      <c r="D8" s="8">
        <f>D5-0.5*D6^2</f>
        <v>9.8750000000000004E-2</v>
      </c>
      <c r="E8" s="8">
        <f>E5-0.5*E6^2</f>
        <v>9.5000000000000001E-2</v>
      </c>
      <c r="F8" s="8">
        <f>F5-0.5*F6^2</f>
        <v>0.08</v>
      </c>
    </row>
    <row r="10" spans="1:12" ht="17.100000000000001" thickBot="1" x14ac:dyDescent="0.7">
      <c r="A10" s="26" t="s">
        <v>45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</row>
    <row r="11" spans="1:12" ht="14.7" thickTop="1" x14ac:dyDescent="0.55000000000000004"/>
    <row r="12" spans="1:12" ht="14.7" thickBot="1" x14ac:dyDescent="0.6">
      <c r="B12" s="15" t="s">
        <v>14</v>
      </c>
      <c r="C12" s="25" t="s">
        <v>15</v>
      </c>
      <c r="D12" s="25"/>
      <c r="E12" s="25"/>
      <c r="F12" s="25"/>
      <c r="H12" s="25" t="s">
        <v>16</v>
      </c>
      <c r="I12" s="25"/>
      <c r="J12" s="25"/>
      <c r="K12" s="25"/>
    </row>
    <row r="13" spans="1:12" x14ac:dyDescent="0.55000000000000004">
      <c r="B13">
        <f>'Model 1'!B13</f>
        <v>1997</v>
      </c>
      <c r="H13" s="1">
        <v>1000</v>
      </c>
      <c r="I13" s="1">
        <f>H13</f>
        <v>1000</v>
      </c>
      <c r="J13" s="1">
        <f>I13</f>
        <v>1000</v>
      </c>
      <c r="K13" s="1">
        <f>J13</f>
        <v>1000</v>
      </c>
    </row>
    <row r="14" spans="1:12" x14ac:dyDescent="0.55000000000000004">
      <c r="B14">
        <f>B13+1</f>
        <v>1998</v>
      </c>
      <c r="C14" s="18">
        <f>C$5+C$6*'Random Numbers'!H8</f>
        <v>0.1</v>
      </c>
      <c r="D14" s="18">
        <f>D$5+D$6*'Random Numbers'!I8</f>
        <v>9.0747188929265421E-2</v>
      </c>
      <c r="E14" s="18">
        <f>E$5+E$6*'Random Numbers'!J8</f>
        <v>-2.7080677755190019E-2</v>
      </c>
      <c r="F14" s="18">
        <f>F$5+F$6*'Random Numbers'!K8</f>
        <v>0.17933796607106428</v>
      </c>
      <c r="H14" s="1">
        <f>H13*(1+C14)</f>
        <v>1100</v>
      </c>
      <c r="I14" s="1">
        <f>I13*(1+D14)</f>
        <v>1090.7471889292656</v>
      </c>
      <c r="J14" s="1">
        <f>J13*(1+E14)</f>
        <v>972.91932224481002</v>
      </c>
      <c r="K14" s="1">
        <f>K13*(1+F14)</f>
        <v>1179.3379660710643</v>
      </c>
    </row>
    <row r="15" spans="1:12" x14ac:dyDescent="0.55000000000000004">
      <c r="B15">
        <f t="shared" ref="B15:B23" si="0">B14+1</f>
        <v>1999</v>
      </c>
      <c r="C15" s="18">
        <f>C$5+C$6*'Random Numbers'!H9</f>
        <v>0.1</v>
      </c>
      <c r="D15" s="18">
        <f>D$5+D$6*'Random Numbers'!I9</f>
        <v>1.4773353361616642E-2</v>
      </c>
      <c r="E15" s="18">
        <f>E$5+E$6*'Random Numbers'!J9</f>
        <v>0.10328295229130074</v>
      </c>
      <c r="F15" s="18">
        <f>F$5+F$6*'Random Numbers'!K9</f>
        <v>-0.1102609522462113</v>
      </c>
      <c r="H15" s="1">
        <f t="shared" ref="H15:K23" si="1">H14*(1+C15)</f>
        <v>1210</v>
      </c>
      <c r="I15" s="1">
        <f t="shared" si="1"/>
        <v>1106.8611825795076</v>
      </c>
      <c r="J15" s="1">
        <f t="shared" si="1"/>
        <v>1073.4053021875054</v>
      </c>
      <c r="K15" s="1">
        <f t="shared" si="1"/>
        <v>1049.3030389119588</v>
      </c>
    </row>
    <row r="16" spans="1:12" x14ac:dyDescent="0.55000000000000004">
      <c r="B16">
        <f t="shared" si="0"/>
        <v>2000</v>
      </c>
      <c r="C16" s="18">
        <f>C$5+C$6*'Random Numbers'!H10</f>
        <v>0.1</v>
      </c>
      <c r="D16" s="18">
        <f>D$5+D$6*'Random Numbers'!I10</f>
        <v>0.12269130888513877</v>
      </c>
      <c r="E16" s="18">
        <f>E$5+E$6*'Random Numbers'!J10</f>
        <v>0.25334508734910322</v>
      </c>
      <c r="F16" s="18">
        <f>F$5+F$6*'Random Numbers'!K10</f>
        <v>0.29744184966946252</v>
      </c>
      <c r="H16" s="1">
        <f t="shared" si="1"/>
        <v>1331</v>
      </c>
      <c r="I16" s="1">
        <f t="shared" si="1"/>
        <v>1242.6634298243398</v>
      </c>
      <c r="J16" s="1">
        <f t="shared" si="1"/>
        <v>1345.3472622311895</v>
      </c>
      <c r="K16" s="1">
        <f t="shared" si="1"/>
        <v>1361.4096756697197</v>
      </c>
    </row>
    <row r="17" spans="1:11" x14ac:dyDescent="0.55000000000000004">
      <c r="B17">
        <f t="shared" si="0"/>
        <v>2001</v>
      </c>
      <c r="C17" s="18">
        <f>C$5+C$6*'Random Numbers'!H11</f>
        <v>0.1</v>
      </c>
      <c r="D17" s="18">
        <f>D$5+D$6*'Random Numbers'!I11</f>
        <v>0.14308341776134786</v>
      </c>
      <c r="E17" s="18">
        <f>E$5+E$6*'Random Numbers'!J11</f>
        <v>0.16400884105480096</v>
      </c>
      <c r="F17" s="18">
        <f>F$5+F$6*'Random Numbers'!K11</f>
        <v>0.2277457222570568</v>
      </c>
      <c r="H17" s="1">
        <f t="shared" si="1"/>
        <v>1464.1000000000001</v>
      </c>
      <c r="I17" s="1">
        <f t="shared" si="1"/>
        <v>1420.4679604906451</v>
      </c>
      <c r="J17" s="1">
        <f t="shared" si="1"/>
        <v>1565.9961075259762</v>
      </c>
      <c r="K17" s="1">
        <f t="shared" si="1"/>
        <v>1671.4649055428656</v>
      </c>
    </row>
    <row r="18" spans="1:11" x14ac:dyDescent="0.55000000000000004">
      <c r="B18">
        <f t="shared" si="0"/>
        <v>2002</v>
      </c>
      <c r="C18" s="18">
        <f>C$5+C$6*'Random Numbers'!H12</f>
        <v>0.1</v>
      </c>
      <c r="D18" s="18">
        <f>D$5+D$6*'Random Numbers'!I12</f>
        <v>5.7044987445083961E-2</v>
      </c>
      <c r="E18" s="18">
        <f>E$5+E$6*'Random Numbers'!J12</f>
        <v>0.1870056785418342</v>
      </c>
      <c r="F18" s="18">
        <f>F$5+F$6*'Random Numbers'!K12</f>
        <v>-0.15760614852261276</v>
      </c>
      <c r="H18" s="1">
        <f t="shared" si="1"/>
        <v>1610.5100000000002</v>
      </c>
      <c r="I18" s="1">
        <f t="shared" si="1"/>
        <v>1501.498537462978</v>
      </c>
      <c r="J18" s="1">
        <f t="shared" si="1"/>
        <v>1858.8462722077425</v>
      </c>
      <c r="K18" s="1">
        <f t="shared" si="1"/>
        <v>1408.0317593895418</v>
      </c>
    </row>
    <row r="19" spans="1:11" x14ac:dyDescent="0.55000000000000004">
      <c r="B19">
        <f t="shared" si="0"/>
        <v>2003</v>
      </c>
      <c r="C19" s="18">
        <f>C$5+C$6*'Random Numbers'!H13</f>
        <v>0.1</v>
      </c>
      <c r="D19" s="18">
        <f>D$5+D$6*'Random Numbers'!I13</f>
        <v>0.11200756019041805</v>
      </c>
      <c r="E19" s="18">
        <f>E$5+E$6*'Random Numbers'!J13</f>
        <v>0.10760485829451689</v>
      </c>
      <c r="F19" s="18">
        <f>F$5+F$6*'Random Numbers'!K13</f>
        <v>0.1260325705650413</v>
      </c>
      <c r="H19" s="1">
        <f t="shared" si="1"/>
        <v>1771.5610000000004</v>
      </c>
      <c r="I19" s="1">
        <f t="shared" si="1"/>
        <v>1669.6777252736872</v>
      </c>
      <c r="J19" s="1">
        <f t="shared" si="1"/>
        <v>2058.8671619199476</v>
      </c>
      <c r="K19" s="1">
        <f t="shared" si="1"/>
        <v>1585.4896214626235</v>
      </c>
    </row>
    <row r="20" spans="1:11" x14ac:dyDescent="0.55000000000000004">
      <c r="B20">
        <f t="shared" si="0"/>
        <v>2004</v>
      </c>
      <c r="C20" s="18">
        <f>C$5+C$6*'Random Numbers'!H14</f>
        <v>0.1</v>
      </c>
      <c r="D20" s="18">
        <f>D$5+D$6*'Random Numbers'!I14</f>
        <v>0.20995409000595822</v>
      </c>
      <c r="E20" s="18">
        <f>E$5+E$6*'Random Numbers'!J14</f>
        <v>9.9232546978978015E-3</v>
      </c>
      <c r="F20" s="18">
        <f>F$5+F$6*'Random Numbers'!K14</f>
        <v>0.14809421452094904</v>
      </c>
      <c r="H20" s="1">
        <f t="shared" si="1"/>
        <v>1948.7171000000005</v>
      </c>
      <c r="I20" s="1">
        <f t="shared" si="1"/>
        <v>2020.2333926867425</v>
      </c>
      <c r="J20" s="1">
        <f t="shared" si="1"/>
        <v>2079.2978251568175</v>
      </c>
      <c r="K20" s="1">
        <f t="shared" si="1"/>
        <v>1820.2914615842474</v>
      </c>
    </row>
    <row r="21" spans="1:11" x14ac:dyDescent="0.55000000000000004">
      <c r="B21">
        <f t="shared" si="0"/>
        <v>2005</v>
      </c>
      <c r="C21" s="18">
        <f>C$5+C$6*'Random Numbers'!H15</f>
        <v>0.1</v>
      </c>
      <c r="D21" s="18">
        <f>D$5+D$6*'Random Numbers'!I15</f>
        <v>6.8910923386363898E-2</v>
      </c>
      <c r="E21" s="18">
        <f>E$5+E$6*'Random Numbers'!J15</f>
        <v>-8.6123771581774172E-2</v>
      </c>
      <c r="F21" s="18">
        <f>F$5+F$6*'Random Numbers'!K15</f>
        <v>0.29860267888832293</v>
      </c>
      <c r="H21" s="1">
        <f t="shared" si="1"/>
        <v>2143.5888100000006</v>
      </c>
      <c r="I21" s="1">
        <f t="shared" si="1"/>
        <v>2159.4495412327524</v>
      </c>
      <c r="J21" s="1">
        <f t="shared" si="1"/>
        <v>1900.2208542125318</v>
      </c>
      <c r="K21" s="1">
        <f t="shared" si="1"/>
        <v>2363.8353683708442</v>
      </c>
    </row>
    <row r="22" spans="1:11" x14ac:dyDescent="0.55000000000000004">
      <c r="B22">
        <f t="shared" si="0"/>
        <v>2006</v>
      </c>
      <c r="C22" s="18">
        <f>C$5+C$6*'Random Numbers'!H16</f>
        <v>0.1</v>
      </c>
      <c r="D22" s="18">
        <f>D$5+D$6*'Random Numbers'!I16</f>
        <v>9.5364208140499909E-2</v>
      </c>
      <c r="E22" s="18">
        <f>E$5+E$6*'Random Numbers'!J16</f>
        <v>0.17539524655808203</v>
      </c>
      <c r="F22" s="18">
        <f>F$5+F$6*'Random Numbers'!K16</f>
        <v>-0.290593599902082</v>
      </c>
      <c r="H22" s="1">
        <f t="shared" si="1"/>
        <v>2357.9476910000008</v>
      </c>
      <c r="I22" s="1">
        <f t="shared" si="1"/>
        <v>2365.3837367517799</v>
      </c>
      <c r="J22" s="1">
        <f t="shared" si="1"/>
        <v>2233.5105594519478</v>
      </c>
      <c r="K22" s="1">
        <f t="shared" si="1"/>
        <v>1676.9199391000964</v>
      </c>
    </row>
    <row r="23" spans="1:11" x14ac:dyDescent="0.55000000000000004">
      <c r="B23">
        <f t="shared" si="0"/>
        <v>2007</v>
      </c>
      <c r="C23" s="18">
        <f>C$5+C$6*'Random Numbers'!H17</f>
        <v>0.1</v>
      </c>
      <c r="D23" s="18">
        <f>D$5+D$6*'Random Numbers'!I17</f>
        <v>8.5422961894307342E-2</v>
      </c>
      <c r="E23" s="18">
        <f>E$5+E$6*'Random Numbers'!J17</f>
        <v>0.11263853054942842</v>
      </c>
      <c r="F23" s="18">
        <f>F$5+F$6*'Random Numbers'!K17</f>
        <v>0.28120569869900913</v>
      </c>
      <c r="H23" s="1">
        <f t="shared" si="1"/>
        <v>2593.7424601000012</v>
      </c>
      <c r="I23" s="1">
        <f t="shared" si="1"/>
        <v>2567.4418215617416</v>
      </c>
      <c r="J23" s="1">
        <f t="shared" si="1"/>
        <v>2485.0899068352469</v>
      </c>
      <c r="K23" s="1">
        <f t="shared" si="1"/>
        <v>2148.4793822370389</v>
      </c>
    </row>
    <row r="25" spans="1:11" x14ac:dyDescent="0.55000000000000004">
      <c r="A25" s="23" t="s">
        <v>43</v>
      </c>
      <c r="B25" s="23"/>
      <c r="C25" s="3">
        <f>AVERAGE(C14:C23)</f>
        <v>9.9999999999999992E-2</v>
      </c>
      <c r="D25" s="3">
        <f>AVERAGE(D14:D23)</f>
        <v>0.10000000000000002</v>
      </c>
      <c r="E25" s="3">
        <f>AVERAGE(E14:E23)</f>
        <v>0.1</v>
      </c>
      <c r="F25" s="3">
        <f>AVERAGE(F14:F23)</f>
        <v>0.1</v>
      </c>
    </row>
    <row r="26" spans="1:11" x14ac:dyDescent="0.55000000000000004">
      <c r="A26" s="23" t="s">
        <v>44</v>
      </c>
      <c r="B26" s="23"/>
      <c r="C26" s="3">
        <f>STDEVP(C14:C23)</f>
        <v>1.3877787807814457E-17</v>
      </c>
      <c r="D26" s="3">
        <f>STDEVP(D14:D23)</f>
        <v>4.9999999999999954E-2</v>
      </c>
      <c r="E26" s="3">
        <f>STDEVP(E14:E23)</f>
        <v>0.1</v>
      </c>
      <c r="F26" s="3">
        <f>STDEVP(F14:F23)</f>
        <v>0.2</v>
      </c>
    </row>
    <row r="29" spans="1:11" ht="17.100000000000001" thickBot="1" x14ac:dyDescent="0.7">
      <c r="A29" s="26" t="s">
        <v>46</v>
      </c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ht="14.7" thickTop="1" x14ac:dyDescent="0.55000000000000004"/>
    <row r="31" spans="1:11" ht="14.7" thickBot="1" x14ac:dyDescent="0.6">
      <c r="B31" s="15" t="s">
        <v>14</v>
      </c>
      <c r="C31" s="25" t="s">
        <v>15</v>
      </c>
      <c r="D31" s="25"/>
      <c r="E31" s="25"/>
      <c r="F31" s="25"/>
      <c r="H31" s="25" t="s">
        <v>16</v>
      </c>
      <c r="I31" s="25"/>
      <c r="J31" s="25"/>
      <c r="K31" s="25"/>
    </row>
    <row r="32" spans="1:11" x14ac:dyDescent="0.55000000000000004">
      <c r="B32">
        <v>1997</v>
      </c>
      <c r="H32" s="1">
        <v>1000</v>
      </c>
      <c r="I32" s="1">
        <f>H32</f>
        <v>1000</v>
      </c>
      <c r="J32" s="1">
        <f>I32</f>
        <v>1000</v>
      </c>
      <c r="K32" s="1">
        <f>J32</f>
        <v>1000</v>
      </c>
    </row>
    <row r="33" spans="1:11" x14ac:dyDescent="0.55000000000000004">
      <c r="B33">
        <f>B32+1</f>
        <v>1998</v>
      </c>
      <c r="C33" s="3">
        <f>C$5+C$6*'Random Numbers'!B8</f>
        <v>0.1</v>
      </c>
      <c r="D33" s="3">
        <f>D$5+D$6*'Random Numbers'!C8</f>
        <v>0.10711344227966038</v>
      </c>
      <c r="E33" s="3">
        <f>E$5+E$6*'Random Numbers'!D8</f>
        <v>-3.7696588353719557E-2</v>
      </c>
      <c r="F33" s="3">
        <f>F$5+F$6*'Random Numbers'!E8</f>
        <v>0.27366937754559328</v>
      </c>
      <c r="H33" s="1">
        <f t="shared" ref="H33:H42" si="2">H32*(1+C33)</f>
        <v>1100</v>
      </c>
      <c r="I33" s="1">
        <f t="shared" ref="I33:I42" si="3">I32*(1+D33)</f>
        <v>1107.1134422796604</v>
      </c>
      <c r="J33" s="1">
        <f t="shared" ref="J33:J42" si="4">J32*(1+E33)</f>
        <v>962.30341164628044</v>
      </c>
      <c r="K33" s="1">
        <f t="shared" ref="K33:K42" si="5">K32*(1+F33)</f>
        <v>1273.6693775455933</v>
      </c>
    </row>
    <row r="34" spans="1:11" x14ac:dyDescent="0.55000000000000004">
      <c r="B34">
        <f t="shared" ref="B34:B42" si="6">B33+1</f>
        <v>1999</v>
      </c>
      <c r="C34" s="3">
        <f>C$5+C$6*'Random Numbers'!$B9</f>
        <v>0.1</v>
      </c>
      <c r="D34" s="3">
        <f>D$5+D$6*'Random Numbers'!$B9</f>
        <v>0.1307426262224908</v>
      </c>
      <c r="E34" s="3">
        <f>E$5+E$6*'Random Numbers'!$B9</f>
        <v>0.1614852524449816</v>
      </c>
      <c r="F34" s="3">
        <f>F$5+F$6*'Random Numbers'!$B9</f>
        <v>0.2229705048899632</v>
      </c>
      <c r="H34" s="1">
        <f t="shared" si="2"/>
        <v>1210</v>
      </c>
      <c r="I34" s="1">
        <f t="shared" si="3"/>
        <v>1251.8603612495253</v>
      </c>
      <c r="J34" s="1">
        <f t="shared" si="4"/>
        <v>1117.7012210046471</v>
      </c>
      <c r="K34" s="1">
        <f t="shared" si="5"/>
        <v>1557.6600817198196</v>
      </c>
    </row>
    <row r="35" spans="1:11" x14ac:dyDescent="0.55000000000000004">
      <c r="B35">
        <f t="shared" si="6"/>
        <v>2000</v>
      </c>
      <c r="C35" s="3">
        <f>C$5+C$6*'Random Numbers'!$B10</f>
        <v>0.1</v>
      </c>
      <c r="D35" s="3">
        <f>D$5+D$6*'Random Numbers'!$B10</f>
        <v>2.6944610706414102E-2</v>
      </c>
      <c r="E35" s="3">
        <f>E$5+E$6*'Random Numbers'!$B10</f>
        <v>-4.6110778587171802E-2</v>
      </c>
      <c r="F35" s="3">
        <f>F$5+F$6*'Random Numbers'!$B10</f>
        <v>-0.19222155717434361</v>
      </c>
      <c r="H35" s="1">
        <f t="shared" si="2"/>
        <v>1331</v>
      </c>
      <c r="I35" s="1">
        <f t="shared" si="3"/>
        <v>1285.5912513421849</v>
      </c>
      <c r="J35" s="1">
        <f t="shared" si="4"/>
        <v>1066.1631474762903</v>
      </c>
      <c r="K35" s="1">
        <f t="shared" si="5"/>
        <v>1258.2442352633204</v>
      </c>
    </row>
    <row r="36" spans="1:11" x14ac:dyDescent="0.55000000000000004">
      <c r="B36">
        <f t="shared" si="6"/>
        <v>2001</v>
      </c>
      <c r="C36" s="3">
        <f>C$5+C$6*'Random Numbers'!$B11</f>
        <v>0.1</v>
      </c>
      <c r="D36" s="3">
        <f>D$5+D$6*'Random Numbers'!$B11</f>
        <v>0.18248548510891852</v>
      </c>
      <c r="E36" s="3">
        <f>E$5+E$6*'Random Numbers'!$B11</f>
        <v>0.264970970217837</v>
      </c>
      <c r="F36" s="3">
        <f>F$5+F$6*'Random Numbers'!$B11</f>
        <v>0.42994194043567402</v>
      </c>
      <c r="H36" s="1">
        <f t="shared" si="2"/>
        <v>1464.1000000000001</v>
      </c>
      <c r="I36" s="1">
        <f t="shared" si="3"/>
        <v>1520.1929944951453</v>
      </c>
      <c r="J36" s="1">
        <f t="shared" si="4"/>
        <v>1348.665431073586</v>
      </c>
      <c r="K36" s="1">
        <f t="shared" si="5"/>
        <v>1799.2162033144332</v>
      </c>
    </row>
    <row r="37" spans="1:11" x14ac:dyDescent="0.55000000000000004">
      <c r="B37">
        <f t="shared" si="6"/>
        <v>2002</v>
      </c>
      <c r="C37" s="3">
        <f>C$5+C$6*'Random Numbers'!$B12</f>
        <v>0.1</v>
      </c>
      <c r="D37" s="3">
        <f>D$5+D$6*'Random Numbers'!$B12</f>
        <v>9.6273004398972267E-2</v>
      </c>
      <c r="E37" s="3">
        <f>E$5+E$6*'Random Numbers'!$B12</f>
        <v>9.2546008797944529E-2</v>
      </c>
      <c r="F37" s="3">
        <f>F$5+F$6*'Random Numbers'!$B12</f>
        <v>8.5092017595889052E-2</v>
      </c>
      <c r="H37" s="1">
        <f t="shared" si="2"/>
        <v>1610.5100000000002</v>
      </c>
      <c r="I37" s="1">
        <f t="shared" si="3"/>
        <v>1666.5465413414634</v>
      </c>
      <c r="J37" s="1">
        <f t="shared" si="4"/>
        <v>1473.4790339232059</v>
      </c>
      <c r="K37" s="1">
        <f t="shared" si="5"/>
        <v>1952.3151401456737</v>
      </c>
    </row>
    <row r="38" spans="1:11" x14ac:dyDescent="0.55000000000000004">
      <c r="B38">
        <f t="shared" si="6"/>
        <v>2003</v>
      </c>
      <c r="C38" s="3">
        <f>C$5+C$6*'Random Numbers'!$B13</f>
        <v>0.1</v>
      </c>
      <c r="D38" s="3">
        <f>D$5+D$6*'Random Numbers'!$B13</f>
        <v>7.1513830132607842E-2</v>
      </c>
      <c r="E38" s="3">
        <f>E$5+E$6*'Random Numbers'!$B13</f>
        <v>4.3027660265215678E-2</v>
      </c>
      <c r="F38" s="3">
        <f>F$5+F$6*'Random Numbers'!$B13</f>
        <v>-1.3944679469568649E-2</v>
      </c>
      <c r="H38" s="1">
        <f t="shared" si="2"/>
        <v>1771.5610000000004</v>
      </c>
      <c r="I38" s="1">
        <f t="shared" si="3"/>
        <v>1785.7276676070421</v>
      </c>
      <c r="J38" s="1">
        <f t="shared" si="4"/>
        <v>1536.8793892027718</v>
      </c>
      <c r="K38" s="1">
        <f t="shared" si="5"/>
        <v>1925.0907312927561</v>
      </c>
    </row>
    <row r="39" spans="1:11" x14ac:dyDescent="0.55000000000000004">
      <c r="B39">
        <f t="shared" si="6"/>
        <v>2004</v>
      </c>
      <c r="C39" s="3">
        <f>C$5+C$6*'Random Numbers'!$B14</f>
        <v>0.1</v>
      </c>
      <c r="D39" s="3">
        <f>D$5+D$6*'Random Numbers'!$B14</f>
        <v>0.10381140807803604</v>
      </c>
      <c r="E39" s="3">
        <f>E$5+E$6*'Random Numbers'!$B14</f>
        <v>0.10762281615607208</v>
      </c>
      <c r="F39" s="3">
        <f>F$5+F$6*'Random Numbers'!$B14</f>
        <v>0.11524563231214416</v>
      </c>
      <c r="H39" s="1">
        <f t="shared" si="2"/>
        <v>1948.7171000000005</v>
      </c>
      <c r="I39" s="1">
        <f t="shared" si="3"/>
        <v>1971.1065712252364</v>
      </c>
      <c r="J39" s="1">
        <f t="shared" si="4"/>
        <v>1702.2826771609982</v>
      </c>
      <c r="K39" s="1">
        <f t="shared" si="5"/>
        <v>2146.9490298788378</v>
      </c>
    </row>
    <row r="40" spans="1:11" x14ac:dyDescent="0.55000000000000004">
      <c r="B40">
        <f t="shared" si="6"/>
        <v>2005</v>
      </c>
      <c r="C40" s="3">
        <f>C$5+C$6*'Random Numbers'!$B15</f>
        <v>0.1</v>
      </c>
      <c r="D40" s="3">
        <f>D$5+D$6*'Random Numbers'!$B15</f>
        <v>4.1066903375030966E-2</v>
      </c>
      <c r="E40" s="3">
        <f>E$5+E$6*'Random Numbers'!$B15</f>
        <v>-1.7866193249938073E-2</v>
      </c>
      <c r="F40" s="3">
        <f>F$5+F$6*'Random Numbers'!$B15</f>
        <v>-0.13573238649987615</v>
      </c>
      <c r="H40" s="1">
        <f t="shared" si="2"/>
        <v>2143.5888100000006</v>
      </c>
      <c r="I40" s="1">
        <f t="shared" si="3"/>
        <v>2052.0538143276322</v>
      </c>
      <c r="J40" s="1">
        <f t="shared" si="4"/>
        <v>1671.8693658848179</v>
      </c>
      <c r="K40" s="1">
        <f t="shared" si="5"/>
        <v>1855.5385143597891</v>
      </c>
    </row>
    <row r="41" spans="1:11" x14ac:dyDescent="0.55000000000000004">
      <c r="B41">
        <f t="shared" si="6"/>
        <v>2006</v>
      </c>
      <c r="C41" s="3">
        <f>C$5+C$6*'Random Numbers'!$B16</f>
        <v>0.1</v>
      </c>
      <c r="D41" s="3">
        <f>D$5+D$6*'Random Numbers'!$B16</f>
        <v>0.12060141923720949</v>
      </c>
      <c r="E41" s="3">
        <f>E$5+E$6*'Random Numbers'!$B16</f>
        <v>0.14120283847441897</v>
      </c>
      <c r="F41" s="3">
        <f>F$5+F$6*'Random Numbers'!$B16</f>
        <v>0.18240567694883794</v>
      </c>
      <c r="H41" s="1">
        <f t="shared" si="2"/>
        <v>2357.9476910000008</v>
      </c>
      <c r="I41" s="1">
        <f t="shared" si="3"/>
        <v>2299.5344166866739</v>
      </c>
      <c r="J41" s="1">
        <f t="shared" si="4"/>
        <v>1907.9420659061811</v>
      </c>
      <c r="K41" s="1">
        <f t="shared" si="5"/>
        <v>2193.9992731762277</v>
      </c>
    </row>
    <row r="42" spans="1:11" x14ac:dyDescent="0.55000000000000004">
      <c r="B42">
        <f t="shared" si="6"/>
        <v>2007</v>
      </c>
      <c r="C42" s="3">
        <f>C$5+C$6*'Random Numbers'!$B17</f>
        <v>0.1</v>
      </c>
      <c r="D42" s="3">
        <f>D$5+D$6*'Random Numbers'!$B17</f>
        <v>0.14180594714853215</v>
      </c>
      <c r="E42" s="3">
        <f>E$5+E$6*'Random Numbers'!$B17</f>
        <v>0.18361189429706429</v>
      </c>
      <c r="F42" s="3">
        <f>F$5+F$6*'Random Numbers'!$B17</f>
        <v>0.26722378859412854</v>
      </c>
      <c r="H42" s="1">
        <f t="shared" si="2"/>
        <v>2593.7424601000012</v>
      </c>
      <c r="I42" s="1">
        <f t="shared" si="3"/>
        <v>2625.6220726455754</v>
      </c>
      <c r="J42" s="1">
        <f t="shared" si="4"/>
        <v>2258.2629228362694</v>
      </c>
      <c r="K42" s="1">
        <f t="shared" si="5"/>
        <v>2780.2880711271437</v>
      </c>
    </row>
    <row r="44" spans="1:11" x14ac:dyDescent="0.55000000000000004">
      <c r="A44" s="23" t="s">
        <v>43</v>
      </c>
      <c r="B44" s="23"/>
      <c r="C44" s="3">
        <f>AVERAGE(C33:C42)</f>
        <v>9.9999999999999992E-2</v>
      </c>
      <c r="D44" s="3">
        <f>AVERAGE(D33:D42)</f>
        <v>0.10223586766878726</v>
      </c>
      <c r="E44" s="3">
        <f>AVERAGE(E33:E42)</f>
        <v>8.9279388046270461E-2</v>
      </c>
      <c r="F44" s="3">
        <f>AVERAGE(F33:F42)</f>
        <v>0.12346503151784416</v>
      </c>
    </row>
    <row r="45" spans="1:11" x14ac:dyDescent="0.55000000000000004">
      <c r="A45" s="23" t="s">
        <v>44</v>
      </c>
      <c r="B45" s="23"/>
      <c r="C45" s="3">
        <f>STDEVP(C33:C42)</f>
        <v>1.3877787807814457E-17</v>
      </c>
      <c r="D45" s="3">
        <f>STDEVP(D33:D42)</f>
        <v>4.4240037313650581E-2</v>
      </c>
      <c r="E45" s="3">
        <f>STDEVP(E33:E42)</f>
        <v>9.8028481179290902E-2</v>
      </c>
      <c r="F45" s="3">
        <f>STDEVP(F33:F42)</f>
        <v>0.18379177337355618</v>
      </c>
    </row>
  </sheetData>
  <sheetProtection sheet="1" objects="1" scenarios="1"/>
  <mergeCells count="16">
    <mergeCell ref="A25:B25"/>
    <mergeCell ref="A26:B26"/>
    <mergeCell ref="A5:B5"/>
    <mergeCell ref="A6:B6"/>
    <mergeCell ref="A8:B8"/>
    <mergeCell ref="A29:K29"/>
    <mergeCell ref="C31:F31"/>
    <mergeCell ref="H31:K31"/>
    <mergeCell ref="A44:B44"/>
    <mergeCell ref="A45:B45"/>
    <mergeCell ref="A1:L1"/>
    <mergeCell ref="A2:L2"/>
    <mergeCell ref="C12:F12"/>
    <mergeCell ref="H12:K12"/>
    <mergeCell ref="I3:J3"/>
    <mergeCell ref="A10:K10"/>
  </mergeCells>
  <dataValidations count="3">
    <dataValidation type="whole" allowBlank="1" showInputMessage="1" showErrorMessage="1" error="Seed must beban integer between 1 and 32767." sqref="K3">
      <formula1>1</formula1>
      <formula2>32767</formula2>
    </dataValidation>
    <dataValidation type="decimal" allowBlank="1" showInputMessage="1" showErrorMessage="1" error="Please enter a value between 5% and 20%." sqref="C5:F5">
      <formula1>0.05</formula1>
      <formula2>0.2</formula2>
    </dataValidation>
    <dataValidation type="decimal" allowBlank="1" showInputMessage="1" showErrorMessage="1" error="Please enter a value between 0% and 60%." sqref="C6:F6">
      <formula1>0</formula1>
      <formula2>0.6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NewTrial">
                <anchor moveWithCells="1" sizeWithCells="1">
                  <from>
                    <xdr:col>8</xdr:col>
                    <xdr:colOff>316230</xdr:colOff>
                    <xdr:row>3</xdr:row>
                    <xdr:rowOff>11430</xdr:rowOff>
                  </from>
                  <to>
                    <xdr:col>11</xdr:col>
                    <xdr:colOff>19050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"/>
  <sheetViews>
    <sheetView showGridLines="0" workbookViewId="0">
      <selection activeCell="B8" sqref="B8"/>
    </sheetView>
  </sheetViews>
  <sheetFormatPr defaultRowHeight="14.4" x14ac:dyDescent="0.55000000000000004"/>
  <cols>
    <col min="1" max="1" width="27.41796875" bestFit="1" customWidth="1"/>
  </cols>
  <sheetData>
    <row r="1" spans="1:11" x14ac:dyDescent="0.55000000000000004">
      <c r="A1" s="22" t="s">
        <v>3</v>
      </c>
      <c r="B1" s="22"/>
      <c r="C1" s="22"/>
      <c r="D1" s="22"/>
      <c r="E1" s="22"/>
      <c r="F1" s="22"/>
      <c r="G1" s="22"/>
      <c r="H1" s="22"/>
      <c r="I1" s="22"/>
      <c r="J1" s="22"/>
    </row>
    <row r="3" spans="1:11" x14ac:dyDescent="0.55000000000000004">
      <c r="A3" t="s">
        <v>4</v>
      </c>
      <c r="B3">
        <v>4</v>
      </c>
    </row>
    <row r="4" spans="1:11" x14ac:dyDescent="0.55000000000000004">
      <c r="A4" t="s">
        <v>5</v>
      </c>
      <c r="B4">
        <v>10</v>
      </c>
    </row>
    <row r="5" spans="1:11" x14ac:dyDescent="0.55000000000000004">
      <c r="A5" s="9" t="s">
        <v>23</v>
      </c>
      <c r="B5" s="17">
        <v>65</v>
      </c>
    </row>
    <row r="6" spans="1:11" x14ac:dyDescent="0.55000000000000004">
      <c r="A6" t="s">
        <v>6</v>
      </c>
      <c r="B6" s="2" t="s">
        <v>24</v>
      </c>
    </row>
    <row r="8" spans="1:11" x14ac:dyDescent="0.55000000000000004">
      <c r="A8">
        <v>1</v>
      </c>
      <c r="B8">
        <v>-2.4261680664494634</v>
      </c>
      <c r="C8">
        <v>0.14226884559320752</v>
      </c>
      <c r="D8">
        <v>-1.3769658835371956</v>
      </c>
      <c r="E8">
        <v>0.86834688772796653</v>
      </c>
      <c r="H8" s="8">
        <f>(B8-B$19)/B$20</f>
        <v>-1.9223635643352268</v>
      </c>
      <c r="I8" s="8">
        <f t="shared" ref="I8:K8" si="0">(C8-C$19)/C$20</f>
        <v>-0.1850562214146918</v>
      </c>
      <c r="J8" s="8">
        <f t="shared" si="0"/>
        <v>-1.2708067775519003</v>
      </c>
      <c r="K8" s="8">
        <f t="shared" si="0"/>
        <v>0.39668983035532129</v>
      </c>
    </row>
    <row r="9" spans="1:11" x14ac:dyDescent="0.55000000000000004">
      <c r="A9">
        <v>2</v>
      </c>
      <c r="B9">
        <v>0.61485252444981597</v>
      </c>
      <c r="C9">
        <v>-1.0397184269095305</v>
      </c>
      <c r="D9">
        <v>-0.17822458175942302</v>
      </c>
      <c r="E9">
        <v>-0.92073605628684163</v>
      </c>
      <c r="H9" s="8">
        <f t="shared" ref="H9:H17" si="1">(B9-B$19)/B$20</f>
        <v>0.71803255230852647</v>
      </c>
      <c r="I9" s="8">
        <f t="shared" ref="I9:I17" si="2">(C9-C$19)/C$20</f>
        <v>-1.7045329327676673</v>
      </c>
      <c r="J9" s="8">
        <f t="shared" ref="J9:J17" si="3">(D9-D$19)/D$20</f>
        <v>3.2829522913007461E-2</v>
      </c>
      <c r="K9" s="8">
        <f t="shared" ref="K9:K17" si="4">(E9-E$19)/E$20</f>
        <v>-1.0513047612310564</v>
      </c>
    </row>
    <row r="10" spans="1:11" x14ac:dyDescent="0.55000000000000004">
      <c r="A10">
        <v>3</v>
      </c>
      <c r="B10">
        <v>-1.4611077858717181</v>
      </c>
      <c r="C10">
        <v>0.63924971982487477</v>
      </c>
      <c r="D10">
        <v>1.201651684823446</v>
      </c>
      <c r="E10">
        <v>1.5979685485945083</v>
      </c>
      <c r="H10" s="8">
        <f t="shared" si="1"/>
        <v>-1.0844404589178174</v>
      </c>
      <c r="I10" s="8">
        <f t="shared" si="2"/>
        <v>0.45382617770277517</v>
      </c>
      <c r="J10" s="8">
        <f t="shared" si="3"/>
        <v>1.5334508734910319</v>
      </c>
      <c r="K10" s="8">
        <f t="shared" si="4"/>
        <v>0.9872092483473125</v>
      </c>
    </row>
    <row r="11" spans="1:11" x14ac:dyDescent="0.55000000000000004">
      <c r="A11">
        <v>4</v>
      </c>
      <c r="B11">
        <v>1.6497097021783702</v>
      </c>
      <c r="C11">
        <v>0.9565064829075709</v>
      </c>
      <c r="D11">
        <v>0.38017219594621565</v>
      </c>
      <c r="E11">
        <v>1.1674001143546775</v>
      </c>
      <c r="H11" s="8">
        <f t="shared" si="1"/>
        <v>1.6165575019693783</v>
      </c>
      <c r="I11" s="8">
        <f t="shared" si="2"/>
        <v>0.86166835522695706</v>
      </c>
      <c r="J11" s="8">
        <f t="shared" si="3"/>
        <v>0.64008841054800936</v>
      </c>
      <c r="K11" s="8">
        <f t="shared" si="4"/>
        <v>0.63872861128528391</v>
      </c>
    </row>
    <row r="12" spans="1:11" x14ac:dyDescent="0.55000000000000004">
      <c r="A12">
        <v>5</v>
      </c>
      <c r="B12">
        <v>-7.4539912020554766E-2</v>
      </c>
      <c r="C12">
        <v>-0.38206394492590334</v>
      </c>
      <c r="D12">
        <v>0.59163653531868476</v>
      </c>
      <c r="E12">
        <v>-1.2132250049035065</v>
      </c>
      <c r="H12" s="8">
        <f t="shared" si="1"/>
        <v>0.11946077099689159</v>
      </c>
      <c r="I12" s="8">
        <f t="shared" si="2"/>
        <v>-0.85910025109832078</v>
      </c>
      <c r="J12" s="8">
        <f t="shared" si="3"/>
        <v>0.87005678541834197</v>
      </c>
      <c r="K12" s="8">
        <f t="shared" si="4"/>
        <v>-1.2880307426130637</v>
      </c>
    </row>
    <row r="13" spans="1:11" x14ac:dyDescent="0.55000000000000004">
      <c r="A13">
        <v>6</v>
      </c>
      <c r="B13">
        <v>-0.56972339734784327</v>
      </c>
      <c r="C13">
        <v>0.47303387873398606</v>
      </c>
      <c r="D13">
        <v>-0.1384830738970777</v>
      </c>
      <c r="E13">
        <v>0.53903704611002468</v>
      </c>
      <c r="H13" s="8">
        <f t="shared" si="1"/>
        <v>-0.31048717332059433</v>
      </c>
      <c r="I13" s="8">
        <f t="shared" si="2"/>
        <v>0.240151203808361</v>
      </c>
      <c r="J13" s="8">
        <f t="shared" si="3"/>
        <v>7.6048582945168891E-2</v>
      </c>
      <c r="K13" s="8">
        <f t="shared" si="4"/>
        <v>0.13016285282520645</v>
      </c>
    </row>
    <row r="14" spans="1:11" x14ac:dyDescent="0.55000000000000004">
      <c r="A14">
        <v>7</v>
      </c>
      <c r="B14">
        <v>7.6228161560720764E-2</v>
      </c>
      <c r="C14">
        <v>1.9968683773186058</v>
      </c>
      <c r="D14">
        <v>-1.0367011782363988</v>
      </c>
      <c r="E14">
        <v>0.67532937464420684</v>
      </c>
      <c r="H14" s="8">
        <f t="shared" si="1"/>
        <v>0.25036663766191758</v>
      </c>
      <c r="I14" s="8">
        <f t="shared" si="2"/>
        <v>2.1990818001191643</v>
      </c>
      <c r="J14" s="8">
        <f t="shared" si="3"/>
        <v>-0.90076745302102201</v>
      </c>
      <c r="K14" s="8">
        <f t="shared" si="4"/>
        <v>0.24047107260474512</v>
      </c>
    </row>
    <row r="15" spans="1:11" x14ac:dyDescent="0.55000000000000004">
      <c r="A15">
        <v>8</v>
      </c>
      <c r="B15">
        <v>-1.1786619324993808</v>
      </c>
      <c r="C15">
        <v>-0.19745584722841159</v>
      </c>
      <c r="D15">
        <v>-1.9198887457605451</v>
      </c>
      <c r="E15">
        <v>1.6051399143179879</v>
      </c>
      <c r="H15" s="8">
        <f t="shared" si="1"/>
        <v>-0.83920406142735693</v>
      </c>
      <c r="I15" s="8">
        <f t="shared" si="2"/>
        <v>-0.62178153227272204</v>
      </c>
      <c r="J15" s="8">
        <f t="shared" si="3"/>
        <v>-1.8612377158177416</v>
      </c>
      <c r="K15" s="8">
        <f t="shared" si="4"/>
        <v>0.99301339444161474</v>
      </c>
    </row>
    <row r="16" spans="1:11" x14ac:dyDescent="0.55000000000000004">
      <c r="A16">
        <v>9</v>
      </c>
      <c r="B16">
        <v>0.41202838474418968</v>
      </c>
      <c r="C16">
        <v>0.21409960027085617</v>
      </c>
      <c r="D16">
        <v>0.48487436288269237</v>
      </c>
      <c r="E16">
        <v>-2.0347943063825369</v>
      </c>
      <c r="H16" s="8">
        <f t="shared" si="1"/>
        <v>0.54192849288748224</v>
      </c>
      <c r="I16" s="8">
        <f t="shared" si="2"/>
        <v>-9.2715837190002023E-2</v>
      </c>
      <c r="J16" s="8">
        <f t="shared" si="3"/>
        <v>0.7539524655808203</v>
      </c>
      <c r="K16" s="8">
        <f t="shared" si="4"/>
        <v>-1.9529679995104097</v>
      </c>
    </row>
    <row r="17" spans="1:11" x14ac:dyDescent="0.55000000000000004">
      <c r="A17">
        <v>10</v>
      </c>
      <c r="B17">
        <v>0.83611894297064282</v>
      </c>
      <c r="C17">
        <v>5.943547876086086E-2</v>
      </c>
      <c r="D17">
        <v>-9.2196614787098952E-2</v>
      </c>
      <c r="E17">
        <v>1.4976649254094809</v>
      </c>
      <c r="H17" s="8">
        <f t="shared" si="1"/>
        <v>0.9101493021767989</v>
      </c>
      <c r="I17" s="8">
        <f t="shared" si="2"/>
        <v>-0.29154076211385332</v>
      </c>
      <c r="J17" s="8">
        <f t="shared" si="3"/>
        <v>0.12638530549428409</v>
      </c>
      <c r="K17" s="8">
        <f t="shared" si="4"/>
        <v>0.90602849349504577</v>
      </c>
    </row>
    <row r="19" spans="1:11" x14ac:dyDescent="0.55000000000000004">
      <c r="A19" t="s">
        <v>7</v>
      </c>
      <c r="B19">
        <f>AVERAGE(B8:B17)</f>
        <v>-0.21212633782852208</v>
      </c>
      <c r="C19">
        <f t="shared" ref="C19:E19" si="5">AVERAGE(C8:C17)</f>
        <v>0.28622241643461166</v>
      </c>
      <c r="D19">
        <f t="shared" si="5"/>
        <v>-0.20841252990067005</v>
      </c>
      <c r="E19">
        <f t="shared" si="5"/>
        <v>0.37821314435859676</v>
      </c>
      <c r="H19" s="7">
        <f>AVERAGE(H8:H17)</f>
        <v>0</v>
      </c>
      <c r="I19" s="7">
        <f t="shared" ref="I19:K19" si="6">AVERAGE(I8:I17)</f>
        <v>4.4408920985006264E-17</v>
      </c>
      <c r="J19" s="7">
        <f t="shared" si="6"/>
        <v>0</v>
      </c>
      <c r="K19" s="7">
        <f t="shared" si="6"/>
        <v>0</v>
      </c>
    </row>
    <row r="20" spans="1:11" x14ac:dyDescent="0.55000000000000004">
      <c r="A20" t="s">
        <v>8</v>
      </c>
      <c r="B20">
        <f>STDEVP(B8:B17)</f>
        <v>1.1517289287505716</v>
      </c>
      <c r="C20">
        <f t="shared" ref="C20:E20" si="7">STDEVP(C8:C17)</f>
        <v>0.7778910092345348</v>
      </c>
      <c r="D20">
        <f t="shared" si="7"/>
        <v>0.9195366079866546</v>
      </c>
      <c r="E20">
        <f t="shared" si="7"/>
        <v>1.2355591342746279</v>
      </c>
      <c r="H20" s="7">
        <f>STDEV(H8:H17)</f>
        <v>1.0540925533894598</v>
      </c>
      <c r="I20" s="7">
        <f t="shared" ref="I20:K20" si="8">STDEV(I8:I17)</f>
        <v>1.0540925533894598</v>
      </c>
      <c r="J20" s="7">
        <f t="shared" si="8"/>
        <v>1.0540925533894596</v>
      </c>
      <c r="K20" s="7">
        <f t="shared" si="8"/>
        <v>1.0540925533894598</v>
      </c>
    </row>
  </sheetData>
  <mergeCells count="1">
    <mergeCell ref="A1:J1"/>
  </mergeCells>
  <dataValidations count="1">
    <dataValidation type="whole" allowBlank="1" showInputMessage="1" showErrorMessage="1" error="Seed must beban integer between 1 and 32767." sqref="B5">
      <formula1>1</formula1>
      <formula2>32767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Cover</vt:lpstr>
      <vt:lpstr>Model 1</vt:lpstr>
      <vt:lpstr>Model 2</vt:lpstr>
      <vt:lpstr>Random Numbers</vt:lpstr>
      <vt:lpstr>NRandomNumbers</vt:lpstr>
      <vt:lpstr>NVars</vt:lpstr>
      <vt:lpstr>OutputRange</vt:lpstr>
      <vt:lpstr>'Model 1'!Seed</vt:lpstr>
      <vt:lpstr>'Model 2'!Seed</vt:lpstr>
      <vt:lpstr>'Random Numbers'!Seed</vt:lpstr>
      <vt:lpstr>Seed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Khalifa</dc:creator>
  <cp:lastModifiedBy>Mohamed</cp:lastModifiedBy>
  <dcterms:created xsi:type="dcterms:W3CDTF">2006-09-16T00:00:00Z</dcterms:created>
  <dcterms:modified xsi:type="dcterms:W3CDTF">2016-12-24T20:48:08Z</dcterms:modified>
</cp:coreProperties>
</file>
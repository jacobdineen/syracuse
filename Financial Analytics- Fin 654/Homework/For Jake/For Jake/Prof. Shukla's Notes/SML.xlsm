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E:\MBA\January 2017\Finance\Prof. Shukla's Notes\"/>
    </mc:Choice>
  </mc:AlternateContent>
  <bookViews>
    <workbookView xWindow="0" yWindow="0" windowWidth="23040" windowHeight="8808"/>
  </bookViews>
  <sheets>
    <sheet name="SML" sheetId="1" r:id="rId1"/>
    <sheet name="Simulation" sheetId="2" r:id="rId2"/>
  </sheets>
  <definedNames>
    <definedName name="NIterations">Simulation!$I$16</definedName>
    <definedName name="PriceMinusValue">Simulation!$R$5</definedName>
    <definedName name="StepNumber">Simulation!$I$18</definedName>
  </definedNames>
  <calcPr calcId="171027"/>
</workbook>
</file>

<file path=xl/calcChain.xml><?xml version="1.0" encoding="utf-8"?>
<calcChain xmlns="http://schemas.openxmlformats.org/spreadsheetml/2006/main">
  <c r="A6" i="2" l="1"/>
  <c r="A8" i="1"/>
  <c r="AJ5" i="2" l="1"/>
  <c r="AI8" i="2" l="1"/>
  <c r="AI9" i="2" s="1"/>
  <c r="AI10" i="2" s="1"/>
  <c r="AI11" i="2" s="1"/>
  <c r="AI12" i="2" s="1"/>
  <c r="AI13" i="2" s="1"/>
  <c r="AI14" i="2" s="1"/>
  <c r="AI15" i="2" s="1"/>
  <c r="AI16" i="2" s="1"/>
  <c r="AI17" i="2" s="1"/>
  <c r="AI18" i="2" s="1"/>
  <c r="AI19" i="2" s="1"/>
  <c r="AI20" i="2" s="1"/>
  <c r="AI21" i="2" s="1"/>
  <c r="AI22" i="2" s="1"/>
  <c r="AI23" i="2" s="1"/>
  <c r="AI24" i="2" s="1"/>
  <c r="AI25" i="2" s="1"/>
  <c r="AI26" i="2" s="1"/>
  <c r="AI27" i="2" s="1"/>
  <c r="AI28" i="2" s="1"/>
  <c r="AI29" i="2" s="1"/>
  <c r="N16" i="2"/>
  <c r="O14" i="2"/>
  <c r="N11" i="2"/>
  <c r="N15" i="2" s="1"/>
  <c r="N10" i="2"/>
  <c r="N14" i="2" s="1"/>
  <c r="C8" i="2"/>
  <c r="O6" i="2"/>
  <c r="N6" i="2"/>
  <c r="O5" i="2"/>
  <c r="N5" i="2"/>
  <c r="J10" i="1"/>
  <c r="O6" i="1"/>
  <c r="O5" i="1"/>
  <c r="N6" i="1"/>
  <c r="N5" i="1"/>
  <c r="N16" i="1"/>
  <c r="O14" i="1"/>
  <c r="C10" i="1"/>
  <c r="O11" i="1" s="1"/>
  <c r="O12" i="1" s="1"/>
  <c r="O7" i="2" l="1"/>
  <c r="AI30" i="2"/>
  <c r="AJ29" i="2"/>
  <c r="AK29" i="2" s="1"/>
  <c r="AJ28" i="2"/>
  <c r="AK28" i="2" s="1"/>
  <c r="AJ27" i="2"/>
  <c r="AK27" i="2" s="1"/>
  <c r="G8" i="2"/>
  <c r="AJ8" i="2"/>
  <c r="AK8" i="2" s="1"/>
  <c r="O11" i="2"/>
  <c r="O12" i="2" s="1"/>
  <c r="AJ11" i="2"/>
  <c r="AK11" i="2" s="1"/>
  <c r="AJ12" i="2"/>
  <c r="AK12" i="2" s="1"/>
  <c r="AJ14" i="2"/>
  <c r="AK14" i="2" s="1"/>
  <c r="AJ16" i="2"/>
  <c r="AK16" i="2" s="1"/>
  <c r="AJ18" i="2"/>
  <c r="AK18" i="2" s="1"/>
  <c r="AJ20" i="2"/>
  <c r="AK20" i="2" s="1"/>
  <c r="AJ22" i="2"/>
  <c r="AK22" i="2" s="1"/>
  <c r="AJ24" i="2"/>
  <c r="AK24" i="2" s="1"/>
  <c r="AJ26" i="2"/>
  <c r="AK26" i="2" s="1"/>
  <c r="AJ9" i="2"/>
  <c r="AK9" i="2" s="1"/>
  <c r="AJ10" i="2"/>
  <c r="AK10" i="2" s="1"/>
  <c r="AJ13" i="2"/>
  <c r="AK13" i="2" s="1"/>
  <c r="AJ15" i="2"/>
  <c r="AK15" i="2" s="1"/>
  <c r="AJ17" i="2"/>
  <c r="AK17" i="2" s="1"/>
  <c r="AJ19" i="2"/>
  <c r="AK19" i="2" s="1"/>
  <c r="AJ21" i="2"/>
  <c r="AK21" i="2" s="1"/>
  <c r="AJ23" i="2"/>
  <c r="AK23" i="2" s="1"/>
  <c r="AJ25" i="2"/>
  <c r="AK25" i="2" s="1"/>
  <c r="G10" i="1"/>
  <c r="O7" i="1"/>
  <c r="O15" i="1"/>
  <c r="O16" i="1" s="1"/>
  <c r="N11" i="1"/>
  <c r="N15" i="1" s="1"/>
  <c r="N10" i="1"/>
  <c r="N14" i="1" s="1"/>
  <c r="AI31" i="2" l="1"/>
  <c r="AJ30" i="2"/>
  <c r="AK30" i="2" s="1"/>
  <c r="E7" i="1"/>
  <c r="E6" i="1"/>
  <c r="AJ31" i="2" l="1"/>
  <c r="AK31" i="2" s="1"/>
  <c r="AI32" i="2"/>
  <c r="AI33" i="2" l="1"/>
  <c r="AJ32" i="2"/>
  <c r="AK32" i="2" s="1"/>
  <c r="AJ33" i="2" l="1"/>
  <c r="AK33" i="2" s="1"/>
  <c r="AI34" i="2"/>
  <c r="AI35" i="2" l="1"/>
  <c r="AJ34" i="2"/>
  <c r="AK34" i="2" s="1"/>
  <c r="AJ35" i="2" l="1"/>
  <c r="AK35" i="2" s="1"/>
  <c r="AI36" i="2"/>
  <c r="AJ36" i="2" l="1"/>
  <c r="AK36" i="2" s="1"/>
  <c r="AI37" i="2"/>
  <c r="AJ37" i="2" l="1"/>
  <c r="AK37" i="2" s="1"/>
  <c r="AI38" i="2"/>
  <c r="AI39" i="2" l="1"/>
  <c r="AJ38" i="2"/>
  <c r="AK38" i="2" s="1"/>
  <c r="AI40" i="2" l="1"/>
  <c r="AJ39" i="2"/>
  <c r="AK39" i="2" s="1"/>
  <c r="AI41" i="2" l="1"/>
  <c r="AJ40" i="2"/>
  <c r="AK40" i="2" s="1"/>
  <c r="AI42" i="2" l="1"/>
  <c r="AJ41" i="2"/>
  <c r="AK41" i="2" s="1"/>
  <c r="AJ42" i="2" l="1"/>
  <c r="AK42" i="2" s="1"/>
  <c r="AI43" i="2"/>
  <c r="AI44" i="2" l="1"/>
  <c r="AJ43" i="2"/>
  <c r="AK43" i="2" s="1"/>
  <c r="AJ44" i="2" l="1"/>
  <c r="AK44" i="2" s="1"/>
  <c r="AI45" i="2"/>
  <c r="AI46" i="2" l="1"/>
  <c r="AJ45" i="2"/>
  <c r="AK45" i="2" s="1"/>
  <c r="AJ46" i="2" l="1"/>
  <c r="AK46" i="2" s="1"/>
  <c r="AI47" i="2"/>
  <c r="AJ47" i="2" l="1"/>
  <c r="AK47" i="2" s="1"/>
  <c r="AI48" i="2"/>
  <c r="AI49" i="2" l="1"/>
  <c r="AJ48" i="2"/>
  <c r="AK48" i="2" s="1"/>
  <c r="AJ49" i="2" l="1"/>
  <c r="AK49" i="2" s="1"/>
  <c r="AI50" i="2"/>
  <c r="AJ50" i="2" l="1"/>
  <c r="AK50" i="2" s="1"/>
  <c r="AI51" i="2"/>
  <c r="AI52" i="2" l="1"/>
  <c r="AJ51" i="2"/>
  <c r="AK51" i="2" s="1"/>
  <c r="AI53" i="2" l="1"/>
  <c r="AJ52" i="2"/>
  <c r="AK52" i="2" s="1"/>
  <c r="AJ53" i="2" l="1"/>
  <c r="AK53" i="2" s="1"/>
  <c r="AI54" i="2"/>
  <c r="AJ54" i="2" l="1"/>
  <c r="AK54" i="2" s="1"/>
  <c r="AI55" i="2"/>
  <c r="AJ55" i="2" l="1"/>
  <c r="AK55" i="2" s="1"/>
  <c r="AI56" i="2"/>
  <c r="AJ56" i="2" l="1"/>
  <c r="AK56" i="2" s="1"/>
  <c r="AI57" i="2"/>
  <c r="AI58" i="2" l="1"/>
  <c r="AJ57" i="2"/>
  <c r="AK57" i="2" s="1"/>
  <c r="AJ58" i="2" l="1"/>
  <c r="AK58" i="2" s="1"/>
  <c r="AI59" i="2"/>
  <c r="AJ59" i="2" l="1"/>
  <c r="AK59" i="2" s="1"/>
  <c r="AI60" i="2"/>
  <c r="AJ60" i="2" l="1"/>
  <c r="AK60" i="2" s="1"/>
  <c r="AI61" i="2"/>
  <c r="AJ61" i="2" l="1"/>
  <c r="AK61" i="2" s="1"/>
  <c r="AI62" i="2"/>
  <c r="AI63" i="2" l="1"/>
  <c r="AJ62" i="2"/>
  <c r="AK62" i="2" s="1"/>
  <c r="AI64" i="2" l="1"/>
  <c r="AJ63" i="2"/>
  <c r="AK63" i="2" s="1"/>
  <c r="AJ64" i="2" l="1"/>
  <c r="AK64" i="2" s="1"/>
  <c r="AI65" i="2"/>
  <c r="AI66" i="2" l="1"/>
  <c r="AJ65" i="2"/>
  <c r="AK65" i="2" s="1"/>
  <c r="AJ66" i="2" l="1"/>
  <c r="AK66" i="2" s="1"/>
  <c r="AI67" i="2"/>
  <c r="AJ67" i="2" l="1"/>
  <c r="AK67" i="2" s="1"/>
  <c r="AI68" i="2"/>
  <c r="AI69" i="2" l="1"/>
  <c r="AJ68" i="2"/>
  <c r="AK68" i="2" s="1"/>
  <c r="AJ69" i="2" l="1"/>
  <c r="AK69" i="2" s="1"/>
  <c r="AI70" i="2"/>
  <c r="AI71" i="2" l="1"/>
  <c r="AJ70" i="2"/>
  <c r="AK70" i="2" s="1"/>
  <c r="AJ71" i="2" l="1"/>
  <c r="AK71" i="2" s="1"/>
  <c r="AI72" i="2"/>
  <c r="AI73" i="2" l="1"/>
  <c r="AJ72" i="2"/>
  <c r="AK72" i="2" s="1"/>
  <c r="AJ73" i="2" l="1"/>
  <c r="AK73" i="2" s="1"/>
  <c r="AI74" i="2"/>
  <c r="AI75" i="2" l="1"/>
  <c r="AJ74" i="2"/>
  <c r="AK74" i="2" s="1"/>
  <c r="AJ75" i="2" l="1"/>
  <c r="AK75" i="2" s="1"/>
  <c r="I8" i="2" s="1"/>
  <c r="J8" i="2" s="1"/>
  <c r="AI76" i="2"/>
  <c r="AJ76" i="2" l="1"/>
  <c r="AK76" i="2" s="1"/>
  <c r="AI77" i="2"/>
  <c r="E3" i="2"/>
  <c r="R5" i="2"/>
  <c r="O15" i="2"/>
  <c r="O16" i="2" s="1"/>
  <c r="AI78" i="2" l="1"/>
  <c r="AJ77" i="2"/>
  <c r="AK77" i="2" s="1"/>
  <c r="AI79" i="2" l="1"/>
  <c r="AJ78" i="2"/>
  <c r="AK78" i="2" s="1"/>
  <c r="AI80" i="2" l="1"/>
  <c r="AJ79" i="2"/>
  <c r="AK79" i="2" s="1"/>
  <c r="AJ80" i="2" l="1"/>
  <c r="AK80" i="2" s="1"/>
  <c r="AI81" i="2"/>
  <c r="AI82" i="2" l="1"/>
  <c r="AJ81" i="2"/>
  <c r="AK81" i="2" s="1"/>
  <c r="AJ82" i="2" l="1"/>
  <c r="AK82" i="2" s="1"/>
  <c r="AI83" i="2"/>
  <c r="AJ83" i="2" l="1"/>
  <c r="AK83" i="2" s="1"/>
  <c r="AI84" i="2"/>
  <c r="AI85" i="2" l="1"/>
  <c r="AJ84" i="2"/>
  <c r="AK84" i="2" s="1"/>
  <c r="AJ85" i="2" l="1"/>
  <c r="AK85" i="2" s="1"/>
  <c r="AI86" i="2"/>
  <c r="AI87" i="2" l="1"/>
  <c r="AJ86" i="2"/>
  <c r="AK86" i="2" s="1"/>
  <c r="AJ87" i="2" l="1"/>
  <c r="AK87" i="2" s="1"/>
  <c r="AI88" i="2"/>
  <c r="AJ88" i="2" l="1"/>
  <c r="AK88" i="2" s="1"/>
  <c r="AI89" i="2"/>
  <c r="AI90" i="2" l="1"/>
  <c r="AJ89" i="2"/>
  <c r="AK89" i="2" s="1"/>
  <c r="AJ90" i="2" l="1"/>
  <c r="AK90" i="2" s="1"/>
  <c r="AI91" i="2"/>
  <c r="AJ91" i="2" l="1"/>
  <c r="AK91" i="2" s="1"/>
  <c r="AI92" i="2"/>
  <c r="AI93" i="2" l="1"/>
  <c r="AJ92" i="2"/>
  <c r="AK92" i="2" s="1"/>
  <c r="AJ93" i="2" l="1"/>
  <c r="AK93" i="2" s="1"/>
  <c r="AI94" i="2"/>
  <c r="AI95" i="2" l="1"/>
  <c r="AJ94" i="2"/>
  <c r="AK94" i="2" s="1"/>
  <c r="AJ95" i="2" l="1"/>
  <c r="AK95" i="2" s="1"/>
  <c r="AI96" i="2"/>
  <c r="AJ96" i="2" l="1"/>
  <c r="AK96" i="2" s="1"/>
  <c r="AI97" i="2"/>
  <c r="AI98" i="2" l="1"/>
  <c r="AJ97" i="2"/>
  <c r="AK97" i="2" s="1"/>
  <c r="AJ98" i="2" l="1"/>
  <c r="AK98" i="2" s="1"/>
  <c r="AI99" i="2"/>
  <c r="AJ99" i="2" l="1"/>
  <c r="AK99" i="2" s="1"/>
  <c r="AI100" i="2"/>
  <c r="AI101" i="2" l="1"/>
  <c r="AJ100" i="2"/>
  <c r="AK100" i="2" s="1"/>
  <c r="AJ101" i="2" l="1"/>
  <c r="AK101" i="2" s="1"/>
  <c r="AI102" i="2"/>
  <c r="AJ102" i="2" l="1"/>
  <c r="AK102" i="2" s="1"/>
  <c r="AI103" i="2"/>
  <c r="AJ103" i="2" l="1"/>
  <c r="AK103" i="2" s="1"/>
  <c r="AI104" i="2"/>
  <c r="AJ104" i="2" l="1"/>
  <c r="AK104" i="2" s="1"/>
  <c r="AI105" i="2"/>
  <c r="AI106" i="2" l="1"/>
  <c r="AJ105" i="2"/>
  <c r="AK105" i="2" s="1"/>
  <c r="AJ106" i="2" l="1"/>
  <c r="AK106" i="2" s="1"/>
  <c r="AI107" i="2"/>
  <c r="AJ107" i="2" l="1"/>
  <c r="AK107" i="2" s="1"/>
  <c r="AI108" i="2"/>
  <c r="AI109" i="2" l="1"/>
  <c r="AJ108" i="2"/>
  <c r="AK108" i="2" s="1"/>
  <c r="AJ109" i="2" l="1"/>
  <c r="AK109" i="2" s="1"/>
  <c r="AI110" i="2"/>
  <c r="AJ110" i="2" l="1"/>
  <c r="AK110" i="2" s="1"/>
  <c r="AI111" i="2"/>
  <c r="AI112" i="2" l="1"/>
  <c r="AJ111" i="2"/>
  <c r="AK111" i="2" s="1"/>
  <c r="AJ112" i="2" l="1"/>
  <c r="AK112" i="2" s="1"/>
  <c r="AI113" i="2"/>
  <c r="AI114" i="2" l="1"/>
  <c r="AJ113" i="2"/>
  <c r="AK113" i="2" s="1"/>
  <c r="AJ114" i="2" l="1"/>
  <c r="AK114" i="2" s="1"/>
  <c r="AI115" i="2"/>
  <c r="AJ115" i="2" l="1"/>
  <c r="AK115" i="2" s="1"/>
  <c r="AI116" i="2"/>
  <c r="AI117" i="2" l="1"/>
  <c r="AJ116" i="2"/>
  <c r="AK116" i="2" s="1"/>
  <c r="AJ117" i="2" l="1"/>
  <c r="AK117" i="2" s="1"/>
  <c r="AI118" i="2"/>
  <c r="AI119" i="2" l="1"/>
  <c r="AJ118" i="2"/>
  <c r="AK118" i="2" s="1"/>
  <c r="AJ119" i="2" l="1"/>
  <c r="AK119" i="2" s="1"/>
  <c r="AI120" i="2"/>
  <c r="AJ120" i="2" l="1"/>
  <c r="AK120" i="2" s="1"/>
  <c r="AI121" i="2"/>
  <c r="AJ121" i="2" l="1"/>
  <c r="AK121" i="2" s="1"/>
  <c r="AI122" i="2"/>
  <c r="AI123" i="2" l="1"/>
  <c r="AJ122" i="2"/>
  <c r="AK122" i="2" s="1"/>
  <c r="AJ123" i="2" l="1"/>
  <c r="AK123" i="2" s="1"/>
  <c r="AI124" i="2"/>
  <c r="AJ124" i="2" l="1"/>
  <c r="AK124" i="2" s="1"/>
  <c r="AI125" i="2"/>
  <c r="AI126" i="2" l="1"/>
  <c r="AJ125" i="2"/>
  <c r="AK125" i="2" s="1"/>
  <c r="AJ126" i="2" l="1"/>
  <c r="AK126" i="2" s="1"/>
  <c r="AI127" i="2"/>
  <c r="AJ127" i="2" l="1"/>
  <c r="AK127" i="2" s="1"/>
  <c r="AI128" i="2"/>
  <c r="AJ128" i="2" l="1"/>
  <c r="AK128" i="2" s="1"/>
  <c r="AI129" i="2"/>
  <c r="AI130" i="2" l="1"/>
  <c r="AJ129" i="2"/>
  <c r="AK129" i="2" s="1"/>
  <c r="AI131" i="2" l="1"/>
  <c r="AJ130" i="2"/>
  <c r="AK130" i="2" s="1"/>
  <c r="AI132" i="2" l="1"/>
  <c r="AJ131" i="2"/>
  <c r="AK131" i="2" s="1"/>
  <c r="AJ132" i="2" l="1"/>
  <c r="AK132" i="2" s="1"/>
  <c r="AI133" i="2"/>
  <c r="AJ133" i="2" l="1"/>
  <c r="AK133" i="2" s="1"/>
  <c r="AI134" i="2"/>
  <c r="AJ134" i="2" l="1"/>
  <c r="AK134" i="2" s="1"/>
  <c r="AI135" i="2"/>
  <c r="AI136" i="2" l="1"/>
  <c r="AJ135" i="2"/>
  <c r="AK135" i="2" s="1"/>
  <c r="AI137" i="2" l="1"/>
  <c r="AJ136" i="2"/>
  <c r="AK136" i="2" s="1"/>
  <c r="AI138" i="2" l="1"/>
  <c r="AJ137" i="2"/>
  <c r="AK137" i="2" s="1"/>
  <c r="AI139" i="2" l="1"/>
  <c r="AJ138" i="2"/>
  <c r="AK138" i="2" s="1"/>
  <c r="AI140" i="2" l="1"/>
  <c r="AJ139" i="2"/>
  <c r="AK139" i="2" s="1"/>
  <c r="AJ140" i="2" l="1"/>
  <c r="AK140" i="2" s="1"/>
  <c r="AI141" i="2"/>
  <c r="AI142" i="2" l="1"/>
  <c r="AJ141" i="2"/>
  <c r="AK141" i="2" s="1"/>
  <c r="AJ142" i="2" l="1"/>
  <c r="AK142" i="2" s="1"/>
  <c r="AI143" i="2"/>
  <c r="AI144" i="2" l="1"/>
  <c r="AJ143" i="2"/>
  <c r="AK143" i="2" s="1"/>
  <c r="AI145" i="2" l="1"/>
  <c r="AJ144" i="2"/>
  <c r="AK144" i="2" s="1"/>
  <c r="AJ145" i="2" l="1"/>
  <c r="AK145" i="2" s="1"/>
  <c r="AI146" i="2"/>
  <c r="AI147" i="2" l="1"/>
  <c r="AJ146" i="2"/>
  <c r="AK146" i="2" s="1"/>
  <c r="AJ147" i="2" l="1"/>
  <c r="AK147" i="2" s="1"/>
  <c r="AI148" i="2"/>
  <c r="AJ148" i="2" l="1"/>
  <c r="AK148" i="2" s="1"/>
  <c r="AI149" i="2"/>
  <c r="AI150" i="2" l="1"/>
  <c r="AJ149" i="2"/>
  <c r="AK149" i="2" s="1"/>
  <c r="AJ150" i="2" l="1"/>
  <c r="AK150" i="2" s="1"/>
  <c r="AI151" i="2"/>
  <c r="AJ151" i="2" l="1"/>
  <c r="AK151" i="2" s="1"/>
  <c r="AI152" i="2"/>
  <c r="AJ152" i="2" l="1"/>
  <c r="AK152" i="2" s="1"/>
  <c r="AI153" i="2"/>
  <c r="AJ153" i="2" l="1"/>
  <c r="AK153" i="2" s="1"/>
  <c r="AI154" i="2"/>
  <c r="AI155" i="2" l="1"/>
  <c r="AJ154" i="2"/>
  <c r="AK154" i="2" s="1"/>
  <c r="AJ155" i="2" l="1"/>
  <c r="AK155" i="2" s="1"/>
  <c r="AI156" i="2"/>
  <c r="AI157" i="2" l="1"/>
  <c r="AJ156" i="2"/>
  <c r="AK156" i="2" s="1"/>
  <c r="AI158" i="2" l="1"/>
  <c r="AJ157" i="2"/>
  <c r="AK157" i="2" s="1"/>
  <c r="AJ158" i="2" l="1"/>
  <c r="AK158" i="2" s="1"/>
  <c r="AI159" i="2"/>
  <c r="AJ159" i="2" l="1"/>
  <c r="AK159" i="2" s="1"/>
  <c r="AI160" i="2"/>
  <c r="AI161" i="2" l="1"/>
  <c r="AJ160" i="2"/>
  <c r="AK160" i="2" s="1"/>
  <c r="AJ161" i="2" l="1"/>
  <c r="AK161" i="2" s="1"/>
  <c r="AI162" i="2"/>
  <c r="AJ162" i="2" l="1"/>
  <c r="AK162" i="2" s="1"/>
  <c r="AI163" i="2"/>
  <c r="AJ163" i="2" l="1"/>
  <c r="AK163" i="2" s="1"/>
  <c r="AI164" i="2"/>
  <c r="AJ164" i="2" l="1"/>
  <c r="AK164" i="2" s="1"/>
  <c r="AI165" i="2"/>
  <c r="AJ165" i="2" l="1"/>
  <c r="AK165" i="2" s="1"/>
  <c r="AI166" i="2"/>
  <c r="AJ166" i="2" l="1"/>
  <c r="AK166" i="2" s="1"/>
  <c r="AI167" i="2"/>
  <c r="AI168" i="2" l="1"/>
  <c r="AJ167" i="2"/>
  <c r="AK167" i="2" s="1"/>
  <c r="AJ168" i="2" l="1"/>
  <c r="AK168" i="2" s="1"/>
  <c r="AI169" i="2"/>
  <c r="AI170" i="2" l="1"/>
  <c r="AJ169" i="2"/>
  <c r="AK169" i="2" s="1"/>
  <c r="AI171" i="2" l="1"/>
  <c r="AJ170" i="2"/>
  <c r="AK170" i="2" s="1"/>
  <c r="AJ171" i="2" l="1"/>
  <c r="AK171" i="2" s="1"/>
  <c r="AI172" i="2"/>
  <c r="AJ172" i="2" l="1"/>
  <c r="AK172" i="2" s="1"/>
  <c r="AI173" i="2"/>
  <c r="AJ173" i="2" l="1"/>
  <c r="AK173" i="2" s="1"/>
  <c r="AI174" i="2"/>
  <c r="AJ174" i="2" l="1"/>
  <c r="AK174" i="2" s="1"/>
  <c r="AI175" i="2"/>
  <c r="AI176" i="2" l="1"/>
  <c r="AJ175" i="2"/>
  <c r="AK175" i="2" s="1"/>
  <c r="AI177" i="2" l="1"/>
  <c r="AJ176" i="2"/>
  <c r="AK176" i="2" s="1"/>
  <c r="AI178" i="2" l="1"/>
  <c r="AJ177" i="2"/>
  <c r="AK177" i="2" s="1"/>
  <c r="AI179" i="2" l="1"/>
  <c r="AJ178" i="2"/>
  <c r="AK178" i="2" s="1"/>
  <c r="AI180" i="2" l="1"/>
  <c r="AJ179" i="2"/>
  <c r="AK179" i="2" s="1"/>
  <c r="AI181" i="2" l="1"/>
  <c r="AJ180" i="2"/>
  <c r="AK180" i="2" s="1"/>
  <c r="AJ181" i="2" l="1"/>
  <c r="AK181" i="2" s="1"/>
  <c r="AI182" i="2"/>
  <c r="AJ182" i="2" l="1"/>
  <c r="AK182" i="2" s="1"/>
  <c r="AI183" i="2"/>
  <c r="AI184" i="2" l="1"/>
  <c r="AJ183" i="2"/>
  <c r="AK183" i="2" s="1"/>
  <c r="AJ184" i="2" l="1"/>
  <c r="AK184" i="2" s="1"/>
  <c r="AI185" i="2"/>
  <c r="AJ185" i="2" l="1"/>
  <c r="AK185" i="2" s="1"/>
  <c r="AI186" i="2"/>
  <c r="AJ186" i="2" l="1"/>
  <c r="AK186" i="2" s="1"/>
  <c r="AI187" i="2"/>
  <c r="AJ187" i="2" l="1"/>
  <c r="AK187" i="2" s="1"/>
  <c r="AI188" i="2"/>
  <c r="AI189" i="2" l="1"/>
  <c r="AJ188" i="2"/>
  <c r="AK188" i="2" s="1"/>
  <c r="AI190" i="2" l="1"/>
  <c r="AJ189" i="2"/>
  <c r="AK189" i="2" s="1"/>
  <c r="AI191" i="2" l="1"/>
  <c r="AJ190" i="2"/>
  <c r="AK190" i="2" s="1"/>
  <c r="AI192" i="2" l="1"/>
  <c r="AJ191" i="2"/>
  <c r="AK191" i="2" s="1"/>
  <c r="AI193" i="2" l="1"/>
  <c r="AJ192" i="2"/>
  <c r="AK192" i="2" s="1"/>
  <c r="AI194" i="2" l="1"/>
  <c r="AJ193" i="2"/>
  <c r="AK193" i="2" s="1"/>
  <c r="AI195" i="2" l="1"/>
  <c r="AJ194" i="2"/>
  <c r="AK194" i="2" s="1"/>
  <c r="AI196" i="2" l="1"/>
  <c r="AJ195" i="2"/>
  <c r="AK195" i="2" s="1"/>
  <c r="AJ196" i="2" l="1"/>
  <c r="AK196" i="2" s="1"/>
  <c r="AI197" i="2"/>
  <c r="AI198" i="2" l="1"/>
  <c r="AJ197" i="2"/>
  <c r="AK197" i="2" s="1"/>
  <c r="AI199" i="2" l="1"/>
  <c r="AJ198" i="2"/>
  <c r="AK198" i="2" s="1"/>
  <c r="AJ199" i="2" l="1"/>
  <c r="AK199" i="2" s="1"/>
  <c r="AI200" i="2"/>
  <c r="AJ200" i="2" l="1"/>
  <c r="AK200" i="2" s="1"/>
  <c r="AI201" i="2"/>
  <c r="AJ201" i="2" l="1"/>
  <c r="AK201" i="2" s="1"/>
  <c r="AI202" i="2"/>
  <c r="AJ202" i="2" l="1"/>
  <c r="AK202" i="2" s="1"/>
  <c r="AI203" i="2"/>
  <c r="AJ203" i="2" l="1"/>
  <c r="AK203" i="2" s="1"/>
  <c r="AI204" i="2"/>
  <c r="AJ204" i="2" l="1"/>
  <c r="AK204" i="2" s="1"/>
  <c r="AI205" i="2"/>
  <c r="AJ205" i="2" l="1"/>
  <c r="AK205" i="2" s="1"/>
  <c r="AI206" i="2"/>
  <c r="AI207" i="2" l="1"/>
  <c r="AJ206" i="2"/>
  <c r="AK206" i="2" s="1"/>
  <c r="AJ207" i="2" l="1"/>
  <c r="AK207" i="2" s="1"/>
  <c r="AI208" i="2"/>
  <c r="AJ208" i="2" s="1"/>
  <c r="AK208" i="2" s="1"/>
</calcChain>
</file>

<file path=xl/comments1.xml><?xml version="1.0" encoding="utf-8"?>
<comments xmlns="http://schemas.openxmlformats.org/spreadsheetml/2006/main">
  <authors>
    <author>Author</author>
  </authors>
  <commentList>
    <comment ref="E9" authorId="0" shapeId="0">
      <text>
        <r>
          <rPr>
            <sz val="9"/>
            <color indexed="81"/>
            <rFont val="Tahoma"/>
            <family val="2"/>
          </rPr>
          <t>Cash flow expected from the security/portfolio one year from now.</t>
        </r>
      </text>
    </comment>
    <comment ref="F9" authorId="0" shapeId="0">
      <text>
        <r>
          <rPr>
            <sz val="9"/>
            <color indexed="81"/>
            <rFont val="Tahoma"/>
            <family val="2"/>
          </rPr>
          <t>Expected perpetual growth rate in cash flows.</t>
        </r>
      </text>
    </comment>
    <comment ref="G9" authorId="0" shapeId="0">
      <text>
        <r>
          <rPr>
            <sz val="9"/>
            <color indexed="81"/>
            <rFont val="Tahoma"/>
            <family val="2"/>
          </rPr>
          <t>Value determined using its expected cash flow and the risk-appropriate expected return.</t>
        </r>
      </text>
    </comment>
    <comment ref="I9" authorId="0" shapeId="0">
      <text>
        <r>
          <rPr>
            <sz val="9"/>
            <color indexed="81"/>
            <rFont val="Tahoma"/>
            <family val="2"/>
          </rPr>
          <t>Observed price of the security/portfolio (including brokerage commissions if appropriate).</t>
        </r>
      </text>
    </comment>
    <comment ref="J9" authorId="0" shapeId="0">
      <text>
        <r>
          <rPr>
            <sz val="9"/>
            <color indexed="81"/>
            <rFont val="Tahoma"/>
            <family val="2"/>
          </rPr>
          <t>Expected return calculated using expected future cash flows and observed price.</t>
        </r>
      </text>
    </comment>
  </commentList>
</comments>
</file>

<file path=xl/comments2.xml><?xml version="1.0" encoding="utf-8"?>
<comments xmlns="http://schemas.openxmlformats.org/spreadsheetml/2006/main">
  <authors>
    <author>Author</author>
  </authors>
  <commentList>
    <comment ref="E7" authorId="0" shapeId="0">
      <text>
        <r>
          <rPr>
            <sz val="9"/>
            <color indexed="81"/>
            <rFont val="Tahoma"/>
            <family val="2"/>
          </rPr>
          <t>Cash flow expected from the security/portfolio one year from now.</t>
        </r>
      </text>
    </comment>
    <comment ref="F7" authorId="0" shapeId="0">
      <text>
        <r>
          <rPr>
            <sz val="9"/>
            <color indexed="81"/>
            <rFont val="Tahoma"/>
            <family val="2"/>
          </rPr>
          <t>Expected perpetual growth rate in cash flows.</t>
        </r>
      </text>
    </comment>
    <comment ref="G7" authorId="0" shapeId="0">
      <text>
        <r>
          <rPr>
            <sz val="9"/>
            <color indexed="81"/>
            <rFont val="Tahoma"/>
            <family val="2"/>
          </rPr>
          <t>Value determined using its expected cash flow and the risk-appropriate expected return.</t>
        </r>
      </text>
    </comment>
    <comment ref="I7" authorId="0" shapeId="0">
      <text>
        <r>
          <rPr>
            <sz val="9"/>
            <color indexed="81"/>
            <rFont val="Tahoma"/>
            <family val="2"/>
          </rPr>
          <t>Observed price of the security/portfolio (including brokerage commissions if appropriate).</t>
        </r>
      </text>
    </comment>
    <comment ref="J7" authorId="0" shapeId="0">
      <text>
        <r>
          <rPr>
            <sz val="9"/>
            <color indexed="81"/>
            <rFont val="Tahoma"/>
            <family val="2"/>
          </rPr>
          <t>Expected return calculated using expected future cash flows and observed price.</t>
        </r>
      </text>
    </comment>
  </commentList>
</comments>
</file>

<file path=xl/sharedStrings.xml><?xml version="1.0" encoding="utf-8"?>
<sst xmlns="http://schemas.openxmlformats.org/spreadsheetml/2006/main" count="43" uniqueCount="29">
  <si>
    <t>b</t>
  </si>
  <si>
    <t>Price</t>
  </si>
  <si>
    <t>Value</t>
  </si>
  <si>
    <t>Security Market Line</t>
  </si>
  <si>
    <r>
      <t>E(</t>
    </r>
    <r>
      <rPr>
        <b/>
        <i/>
        <sz val="11"/>
        <color theme="1"/>
        <rFont val="Calibri"/>
        <family val="2"/>
        <scheme val="minor"/>
      </rPr>
      <t>r</t>
    </r>
    <r>
      <rPr>
        <b/>
        <sz val="11"/>
        <color theme="1"/>
        <rFont val="Calibri"/>
        <family val="2"/>
        <scheme val="minor"/>
      </rPr>
      <t>|SML)</t>
    </r>
  </si>
  <si>
    <t>E(r|CF)</t>
  </si>
  <si>
    <t>Risk-free security</t>
  </si>
  <si>
    <t>Market portfolio</t>
  </si>
  <si>
    <t>Risky security/portfolio</t>
  </si>
  <si>
    <t>g</t>
  </si>
  <si>
    <r>
      <t>CF</t>
    </r>
    <r>
      <rPr>
        <b/>
        <vertAlign val="subscript"/>
        <sz val="11"/>
        <color theme="1"/>
        <rFont val="Calibri"/>
        <family val="2"/>
        <scheme val="minor"/>
      </rPr>
      <t>1</t>
    </r>
  </si>
  <si>
    <t>Step</t>
  </si>
  <si>
    <t>alpha</t>
  </si>
  <si>
    <t>E(r)</t>
  </si>
  <si>
    <t>P</t>
  </si>
  <si>
    <t>Simulation Parameters</t>
  </si>
  <si>
    <t>Do not modify this table unless you</t>
  </si>
  <si>
    <t>know what you are doing.</t>
  </si>
  <si>
    <t>Security Market Line - Convergence to Equilibrium</t>
  </si>
  <si>
    <t xml:space="preserve">N of Iterations: </t>
  </si>
  <si>
    <t>Overreaction</t>
  </si>
  <si>
    <t>Error</t>
  </si>
  <si>
    <t>Show</t>
  </si>
  <si>
    <t>Calculated quantities</t>
  </si>
  <si>
    <t xml:space="preserve">Iteration number </t>
  </si>
  <si>
    <t xml:space="preserve">Starting alpha </t>
  </si>
  <si>
    <t xml:space="preserve">Speed of adjustment </t>
  </si>
  <si>
    <t xml:space="preserve">N of iterations </t>
  </si>
  <si>
    <t xml:space="preserve">Market behavior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</si>
</sst>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_);[Red]\(&quot;$&quot;#,##0.00\)"/>
    <numFmt numFmtId="44" formatCode="_(&quot;$&quot;* #,##0.00_);_(&quot;$&quot;* \(#,##0.00\);_(&quot;$&quot;* &quot;-&quot;??_);_(@_)"/>
    <numFmt numFmtId="164" formatCode="0.0"/>
    <numFmt numFmtId="165" formatCode="&quot;$&quot;#,##0.00"/>
    <numFmt numFmtId="166" formatCode="0.0%"/>
  </numFmts>
  <fonts count="14" x14ac:knownFonts="1">
    <font>
      <sz val="11"/>
      <color theme="1"/>
      <name val="Calibri"/>
      <family val="2"/>
      <scheme val="minor"/>
    </font>
    <font>
      <sz val="11"/>
      <color rgb="FF3F3F76"/>
      <name val="Calibri"/>
      <family val="2"/>
      <scheme val="minor"/>
    </font>
    <font>
      <b/>
      <sz val="11"/>
      <color theme="1"/>
      <name val="Calibri"/>
      <family val="2"/>
      <scheme val="minor"/>
    </font>
    <font>
      <b/>
      <sz val="18"/>
      <color theme="1"/>
      <name val="Calibri"/>
      <family val="2"/>
      <scheme val="minor"/>
    </font>
    <font>
      <b/>
      <i/>
      <sz val="11"/>
      <color theme="1"/>
      <name val="Calibri"/>
      <family val="2"/>
      <scheme val="minor"/>
    </font>
    <font>
      <b/>
      <i/>
      <sz val="11"/>
      <color theme="1"/>
      <name val="Symbol"/>
      <family val="1"/>
      <charset val="2"/>
    </font>
    <font>
      <sz val="9"/>
      <color indexed="81"/>
      <name val="Tahoma"/>
      <family val="2"/>
    </font>
    <font>
      <b/>
      <vertAlign val="subscript"/>
      <sz val="11"/>
      <color theme="1"/>
      <name val="Calibri"/>
      <family val="2"/>
      <scheme val="minor"/>
    </font>
    <font>
      <sz val="11"/>
      <name val="Calibri"/>
      <family val="2"/>
      <scheme val="minor"/>
    </font>
    <font>
      <b/>
      <sz val="11"/>
      <name val="Calibri"/>
      <family val="2"/>
      <scheme val="minor"/>
    </font>
    <font>
      <sz val="11"/>
      <color theme="1"/>
      <name val="Calibri"/>
      <family val="2"/>
      <scheme val="minor"/>
    </font>
    <font>
      <b/>
      <sz val="20"/>
      <color theme="1"/>
      <name val="Calibri"/>
      <family val="2"/>
      <scheme val="minor"/>
    </font>
    <font>
      <b/>
      <sz val="20"/>
      <color rgb="FF000000"/>
      <name val="Calibri"/>
      <family val="2"/>
    </font>
    <font>
      <b/>
      <sz val="11"/>
      <color rgb="FFFFFF00"/>
      <name val="Calibri"/>
      <family val="2"/>
      <scheme val="minor"/>
    </font>
  </fonts>
  <fills count="8">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4" tint="0.59999389629810485"/>
        <bgColor indexed="64"/>
      </patternFill>
    </fill>
    <fill>
      <patternFill patternType="solid">
        <fgColor rgb="FFC00000"/>
        <bgColor indexed="64"/>
      </patternFill>
    </fill>
  </fills>
  <borders count="20">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rgb="FF7F7F7F"/>
      </bottom>
      <diagonal/>
    </border>
    <border>
      <left/>
      <right style="thin">
        <color rgb="FF7F7F7F"/>
      </right>
      <top style="thin">
        <color indexed="64"/>
      </top>
      <bottom style="thin">
        <color rgb="FF7F7F7F"/>
      </bottom>
      <diagonal/>
    </border>
    <border>
      <left style="thin">
        <color rgb="FF7F7F7F"/>
      </left>
      <right/>
      <top style="thin">
        <color rgb="FF7F7F7F"/>
      </top>
      <bottom style="thin">
        <color rgb="FF7F7F7F"/>
      </bottom>
      <diagonal/>
    </border>
  </borders>
  <cellStyleXfs count="3">
    <xf numFmtId="0" fontId="0" fillId="0" borderId="0"/>
    <xf numFmtId="0" fontId="1" fillId="2" borderId="1" applyNumberFormat="0" applyAlignment="0" applyProtection="0"/>
    <xf numFmtId="44" fontId="10" fillId="0" borderId="0" applyFont="0" applyFill="0" applyBorder="0" applyAlignment="0" applyProtection="0"/>
  </cellStyleXfs>
  <cellXfs count="65">
    <xf numFmtId="0" fontId="0" fillId="0" borderId="0" xfId="0"/>
    <xf numFmtId="9" fontId="0" fillId="0" borderId="0" xfId="0" applyNumberFormat="1"/>
    <xf numFmtId="164" fontId="0" fillId="0" borderId="0" xfId="0" applyNumberFormat="1"/>
    <xf numFmtId="166" fontId="0" fillId="0" borderId="0" xfId="0" applyNumberFormat="1"/>
    <xf numFmtId="10" fontId="0" fillId="0" borderId="0" xfId="0" applyNumberFormat="1"/>
    <xf numFmtId="0" fontId="5" fillId="3" borderId="2" xfId="0" applyFont="1" applyFill="1" applyBorder="1" applyAlignment="1">
      <alignment horizontal="right"/>
    </xf>
    <xf numFmtId="0" fontId="2" fillId="3" borderId="2" xfId="0" applyFont="1" applyFill="1" applyBorder="1" applyAlignment="1">
      <alignment horizontal="right"/>
    </xf>
    <xf numFmtId="0" fontId="0" fillId="3" borderId="2" xfId="0" applyFill="1" applyBorder="1"/>
    <xf numFmtId="10" fontId="8" fillId="2" borderId="2" xfId="1" applyNumberFormat="1" applyFont="1" applyBorder="1" applyAlignment="1" applyProtection="1">
      <alignment horizontal="right"/>
      <protection locked="0"/>
    </xf>
    <xf numFmtId="10" fontId="8" fillId="2" borderId="2" xfId="1" applyNumberFormat="1" applyFont="1" applyBorder="1" applyProtection="1">
      <protection locked="0"/>
    </xf>
    <xf numFmtId="164" fontId="8" fillId="2" borderId="2" xfId="1" applyNumberFormat="1" applyFont="1" applyBorder="1" applyProtection="1">
      <protection locked="0"/>
    </xf>
    <xf numFmtId="8" fontId="8" fillId="2" borderId="2" xfId="1" applyNumberFormat="1" applyFont="1" applyBorder="1" applyProtection="1">
      <protection locked="0"/>
    </xf>
    <xf numFmtId="166" fontId="8" fillId="2" borderId="2" xfId="1" applyNumberFormat="1" applyFont="1" applyBorder="1"/>
    <xf numFmtId="165" fontId="8" fillId="0" borderId="2" xfId="0" applyNumberFormat="1" applyFont="1" applyBorder="1"/>
    <xf numFmtId="0" fontId="9" fillId="3" borderId="2" xfId="0" applyFont="1" applyFill="1" applyBorder="1" applyAlignment="1">
      <alignment horizontal="right"/>
    </xf>
    <xf numFmtId="165" fontId="8" fillId="2" borderId="2" xfId="1" applyNumberFormat="1" applyFont="1" applyBorder="1" applyProtection="1">
      <protection locked="0"/>
    </xf>
    <xf numFmtId="10" fontId="8" fillId="0" borderId="2" xfId="0" applyNumberFormat="1" applyFont="1" applyBorder="1"/>
    <xf numFmtId="0" fontId="0" fillId="5" borderId="4" xfId="0" applyFill="1" applyBorder="1"/>
    <xf numFmtId="0" fontId="0" fillId="5" borderId="5" xfId="0" applyFill="1" applyBorder="1"/>
    <xf numFmtId="0" fontId="0" fillId="5" borderId="6" xfId="0" applyFill="1" applyBorder="1"/>
    <xf numFmtId="0" fontId="0" fillId="5" borderId="12" xfId="0" applyFill="1" applyBorder="1"/>
    <xf numFmtId="0" fontId="0" fillId="5" borderId="13" xfId="0" applyFill="1" applyBorder="1"/>
    <xf numFmtId="0" fontId="0" fillId="5" borderId="7" xfId="0" applyFill="1" applyBorder="1"/>
    <xf numFmtId="0" fontId="0" fillId="5" borderId="8" xfId="0" applyFill="1" applyBorder="1"/>
    <xf numFmtId="0" fontId="0" fillId="5" borderId="0" xfId="0" applyFill="1" applyBorder="1"/>
    <xf numFmtId="0" fontId="0" fillId="5" borderId="2" xfId="0" applyFill="1" applyBorder="1" applyAlignment="1">
      <alignment horizontal="right"/>
    </xf>
    <xf numFmtId="0" fontId="0" fillId="5" borderId="2" xfId="0" applyFill="1" applyBorder="1"/>
    <xf numFmtId="10" fontId="0" fillId="5" borderId="2" xfId="0" applyNumberFormat="1" applyFill="1" applyBorder="1"/>
    <xf numFmtId="165" fontId="0" fillId="5" borderId="2" xfId="2" applyNumberFormat="1" applyFont="1" applyFill="1" applyBorder="1"/>
    <xf numFmtId="0" fontId="0" fillId="5" borderId="3" xfId="0" applyFill="1" applyBorder="1"/>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3" xfId="0" applyFont="1" applyFill="1" applyBorder="1" applyAlignment="1"/>
    <xf numFmtId="0" fontId="2" fillId="5" borderId="8" xfId="0" applyFont="1" applyFill="1" applyBorder="1"/>
    <xf numFmtId="10" fontId="0" fillId="0" borderId="2" xfId="0" applyNumberFormat="1" applyBorder="1"/>
    <xf numFmtId="1" fontId="0" fillId="0" borderId="2" xfId="0" applyNumberFormat="1" applyBorder="1"/>
    <xf numFmtId="0" fontId="1" fillId="2" borderId="16" xfId="1" applyBorder="1" applyAlignment="1">
      <alignment horizontal="center"/>
    </xf>
    <xf numFmtId="165" fontId="0" fillId="0" borderId="0" xfId="0" applyNumberFormat="1"/>
    <xf numFmtId="164" fontId="0" fillId="6" borderId="2" xfId="0" applyNumberFormat="1" applyFill="1" applyBorder="1"/>
    <xf numFmtId="0" fontId="13" fillId="7" borderId="0" xfId="0" applyFont="1" applyFill="1" applyAlignment="1"/>
    <xf numFmtId="0" fontId="2" fillId="4" borderId="4" xfId="0" applyFont="1" applyFill="1" applyBorder="1" applyAlignment="1" applyProtection="1">
      <alignment horizontal="center"/>
      <protection hidden="1"/>
    </xf>
    <xf numFmtId="0" fontId="2" fillId="4" borderId="5" xfId="0" applyFont="1" applyFill="1" applyBorder="1" applyAlignment="1" applyProtection="1">
      <alignment horizontal="center"/>
      <protection hidden="1"/>
    </xf>
    <xf numFmtId="0" fontId="2" fillId="4" borderId="6" xfId="0" applyFont="1" applyFill="1" applyBorder="1" applyAlignment="1" applyProtection="1">
      <alignment horizontal="center"/>
      <protection hidden="1"/>
    </xf>
    <xf numFmtId="0" fontId="2" fillId="4" borderId="7" xfId="0" applyFont="1" applyFill="1" applyBorder="1" applyAlignment="1" applyProtection="1">
      <alignment horizontal="center"/>
      <protection hidden="1"/>
    </xf>
    <xf numFmtId="0" fontId="2" fillId="4" borderId="3" xfId="0" applyFont="1" applyFill="1" applyBorder="1" applyAlignment="1" applyProtection="1">
      <alignment horizontal="center"/>
      <protection hidden="1"/>
    </xf>
    <xf numFmtId="0" fontId="2" fillId="4" borderId="8" xfId="0" applyFont="1" applyFill="1" applyBorder="1" applyAlignment="1" applyProtection="1">
      <alignment horizontal="center"/>
      <protection hidden="1"/>
    </xf>
    <xf numFmtId="0" fontId="3" fillId="0" borderId="3" xfId="0" applyFont="1" applyBorder="1" applyAlignment="1">
      <alignment horizontal="center"/>
    </xf>
    <xf numFmtId="0" fontId="0" fillId="3" borderId="9" xfId="0" applyFill="1" applyBorder="1" applyAlignment="1"/>
    <xf numFmtId="0" fontId="0" fillId="3" borderId="10" xfId="0" applyFill="1" applyBorder="1" applyAlignment="1"/>
    <xf numFmtId="0" fontId="0" fillId="3" borderId="11" xfId="0" applyFill="1" applyBorder="1" applyAlignment="1"/>
    <xf numFmtId="0" fontId="0" fillId="5" borderId="0" xfId="0" applyFill="1" applyBorder="1" applyAlignment="1">
      <alignment horizontal="right"/>
    </xf>
    <xf numFmtId="0" fontId="0" fillId="3" borderId="2" xfId="0" applyFill="1" applyBorder="1" applyAlignment="1">
      <alignment horizontal="right"/>
    </xf>
    <xf numFmtId="0" fontId="1" fillId="2" borderId="1" xfId="1" applyAlignment="1">
      <alignment horizontal="center"/>
    </xf>
    <xf numFmtId="0" fontId="11" fillId="4" borderId="2" xfId="0" applyFont="1" applyFill="1" applyBorder="1" applyAlignment="1" applyProtection="1">
      <alignment horizontal="center" vertical="center" wrapText="1"/>
      <protection hidden="1"/>
    </xf>
    <xf numFmtId="0" fontId="0" fillId="3" borderId="14" xfId="0" applyFill="1" applyBorder="1" applyAlignment="1">
      <alignment horizontal="right"/>
    </xf>
    <xf numFmtId="10" fontId="1" fillId="2" borderId="17" xfId="1" applyNumberFormat="1" applyBorder="1" applyAlignment="1">
      <alignment horizontal="center"/>
    </xf>
    <xf numFmtId="10" fontId="1" fillId="2" borderId="18" xfId="1" applyNumberFormat="1" applyBorder="1" applyAlignment="1">
      <alignment horizontal="center"/>
    </xf>
    <xf numFmtId="0" fontId="2" fillId="3" borderId="9"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0" fontId="1" fillId="2" borderId="15" xfId="1" applyBorder="1" applyAlignment="1">
      <alignment horizontal="center"/>
    </xf>
    <xf numFmtId="0" fontId="1" fillId="2" borderId="16" xfId="1" applyBorder="1" applyAlignment="1">
      <alignment horizontal="center"/>
    </xf>
    <xf numFmtId="0" fontId="1" fillId="2" borderId="19" xfId="1" applyBorder="1" applyAlignment="1">
      <alignment horizontal="center"/>
    </xf>
  </cellXfs>
  <cellStyles count="3">
    <cellStyle name="Currency" xfId="2" builtinId="4"/>
    <cellStyle name="Input" xfId="1" builtinId="20"/>
    <cellStyle name="Normal" xfId="0" builtinId="0"/>
  </cellStyles>
  <dxfs count="3">
    <dxf>
      <font>
        <color theme="0"/>
      </font>
      <fill>
        <patternFill patternType="none">
          <bgColor auto="1"/>
        </patternFill>
      </fill>
    </dxf>
    <dxf>
      <font>
        <color theme="0"/>
      </font>
      <fill>
        <patternFill patternType="none">
          <bgColor auto="1"/>
        </patternFill>
      </fill>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en-US" u="sng"/>
              <a:t>Security Market Line</a:t>
            </a:r>
          </a:p>
        </c:rich>
      </c:tx>
      <c:overlay val="0"/>
    </c:title>
    <c:autoTitleDeleted val="0"/>
    <c:plotArea>
      <c:layout/>
      <c:scatterChart>
        <c:scatterStyle val="smoothMarker"/>
        <c:varyColors val="0"/>
        <c:ser>
          <c:idx val="0"/>
          <c:order val="0"/>
          <c:spPr>
            <a:ln>
              <a:solidFill>
                <a:schemeClr val="tx1"/>
              </a:solidFill>
            </a:ln>
          </c:spPr>
          <c:dPt>
            <c:idx val="0"/>
            <c:marker>
              <c:symbol val="circle"/>
              <c:size val="12"/>
              <c:spPr>
                <a:solidFill>
                  <a:srgbClr val="00B050"/>
                </a:solidFill>
              </c:spPr>
            </c:marker>
            <c:bubble3D val="0"/>
            <c:extLst>
              <c:ext xmlns:c16="http://schemas.microsoft.com/office/drawing/2014/chart" uri="{C3380CC4-5D6E-409C-BE32-E72D297353CC}">
                <c16:uniqueId val="{00000000-3FC8-4BCD-B6C6-FE96FCF27A2D}"/>
              </c:ext>
            </c:extLst>
          </c:dPt>
          <c:dPt>
            <c:idx val="1"/>
            <c:marker>
              <c:symbol val="diamond"/>
              <c:size val="12"/>
              <c:spPr>
                <a:solidFill>
                  <a:srgbClr val="0070C0"/>
                </a:solidFill>
              </c:spPr>
            </c:marker>
            <c:bubble3D val="0"/>
            <c:extLst>
              <c:ext xmlns:c16="http://schemas.microsoft.com/office/drawing/2014/chart" uri="{C3380CC4-5D6E-409C-BE32-E72D297353CC}">
                <c16:uniqueId val="{00000001-3FC8-4BCD-B6C6-FE96FCF27A2D}"/>
              </c:ext>
            </c:extLst>
          </c:dPt>
          <c:dPt>
            <c:idx val="2"/>
            <c:marker>
              <c:symbol val="none"/>
            </c:marker>
            <c:bubble3D val="0"/>
            <c:extLst>
              <c:ext xmlns:c16="http://schemas.microsoft.com/office/drawing/2014/chart" uri="{C3380CC4-5D6E-409C-BE32-E72D297353CC}">
                <c16:uniqueId val="{00000002-3FC8-4BCD-B6C6-FE96FCF27A2D}"/>
              </c:ext>
            </c:extLst>
          </c:dPt>
          <c:dLbls>
            <c:dLbl>
              <c:idx val="0"/>
              <c:tx>
                <c:rich>
                  <a:bodyPr/>
                  <a:lstStyle/>
                  <a:p>
                    <a:r>
                      <a:rPr lang="en-US" sz="2000"/>
                      <a:t>F</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FC8-4BCD-B6C6-FE96FCF27A2D}"/>
                </c:ext>
              </c:extLst>
            </c:dLbl>
            <c:dLbl>
              <c:idx val="1"/>
              <c:tx>
                <c:rich>
                  <a:bodyPr/>
                  <a:lstStyle/>
                  <a:p>
                    <a:r>
                      <a:rPr lang="en-US" sz="2000" b="1">
                        <a:solidFill>
                          <a:srgbClr val="0070C0"/>
                        </a:solidFill>
                      </a:rPr>
                      <a:t>M</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FC8-4BCD-B6C6-FE96FCF27A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SML!$N$5:$N$7</c:f>
              <c:numCache>
                <c:formatCode>0.0</c:formatCode>
                <c:ptCount val="3"/>
                <c:pt idx="0">
                  <c:v>0</c:v>
                </c:pt>
                <c:pt idx="1">
                  <c:v>1</c:v>
                </c:pt>
                <c:pt idx="2">
                  <c:v>1.5</c:v>
                </c:pt>
              </c:numCache>
            </c:numRef>
          </c:xVal>
          <c:yVal>
            <c:numRef>
              <c:f>SML!$O$5:$O$7</c:f>
              <c:numCache>
                <c:formatCode>0.00%</c:formatCode>
                <c:ptCount val="3"/>
                <c:pt idx="0">
                  <c:v>0.01</c:v>
                </c:pt>
                <c:pt idx="1">
                  <c:v>7.0000000000000007E-2</c:v>
                </c:pt>
                <c:pt idx="2">
                  <c:v>0.1</c:v>
                </c:pt>
              </c:numCache>
            </c:numRef>
          </c:yVal>
          <c:smooth val="1"/>
          <c:extLst>
            <c:ext xmlns:c16="http://schemas.microsoft.com/office/drawing/2014/chart" uri="{C3380CC4-5D6E-409C-BE32-E72D297353CC}">
              <c16:uniqueId val="{00000003-3FC8-4BCD-B6C6-FE96FCF27A2D}"/>
            </c:ext>
          </c:extLst>
        </c:ser>
        <c:ser>
          <c:idx val="1"/>
          <c:order val="1"/>
          <c:dPt>
            <c:idx val="0"/>
            <c:marker>
              <c:symbol val="square"/>
              <c:size val="12"/>
              <c:spPr>
                <a:solidFill>
                  <a:srgbClr val="C00000"/>
                </a:solidFill>
              </c:spPr>
            </c:marker>
            <c:bubble3D val="0"/>
            <c:extLst>
              <c:ext xmlns:c16="http://schemas.microsoft.com/office/drawing/2014/chart" uri="{C3380CC4-5D6E-409C-BE32-E72D297353CC}">
                <c16:uniqueId val="{00000004-3FC8-4BCD-B6C6-FE96FCF27A2D}"/>
              </c:ext>
            </c:extLst>
          </c:dPt>
          <c:dLbls>
            <c:dLbl>
              <c:idx val="0"/>
              <c:tx>
                <c:rich>
                  <a:bodyPr/>
                  <a:lstStyle/>
                  <a:p>
                    <a:r>
                      <a:rPr lang="en-US" sz="2000" b="1">
                        <a:solidFill>
                          <a:srgbClr val="C00000"/>
                        </a:solidFill>
                      </a:rPr>
                      <a:t>S</a:t>
                    </a:r>
                    <a:endParaRPr lang="en-US" b="1">
                      <a:solidFill>
                        <a:srgbClr val="C00000"/>
                      </a:solidFill>
                    </a:endParaRP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FC8-4BCD-B6C6-FE96FCF27A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SML!$B$10</c:f>
              <c:numCache>
                <c:formatCode>0.0</c:formatCode>
                <c:ptCount val="1"/>
                <c:pt idx="0">
                  <c:v>1.2</c:v>
                </c:pt>
              </c:numCache>
            </c:numRef>
          </c:xVal>
          <c:yVal>
            <c:numRef>
              <c:f>SML!$J$10</c:f>
              <c:numCache>
                <c:formatCode>0.00%</c:formatCode>
                <c:ptCount val="1"/>
                <c:pt idx="0">
                  <c:v>0.08</c:v>
                </c:pt>
              </c:numCache>
            </c:numRef>
          </c:yVal>
          <c:smooth val="1"/>
          <c:extLst>
            <c:ext xmlns:c16="http://schemas.microsoft.com/office/drawing/2014/chart" uri="{C3380CC4-5D6E-409C-BE32-E72D297353CC}">
              <c16:uniqueId val="{00000005-3FC8-4BCD-B6C6-FE96FCF27A2D}"/>
            </c:ext>
          </c:extLst>
        </c:ser>
        <c:ser>
          <c:idx val="2"/>
          <c:order val="2"/>
          <c:dPt>
            <c:idx val="0"/>
            <c:marker>
              <c:symbol val="triangle"/>
              <c:size val="12"/>
            </c:marker>
            <c:bubble3D val="0"/>
            <c:extLst>
              <c:ext xmlns:c16="http://schemas.microsoft.com/office/drawing/2014/chart" uri="{C3380CC4-5D6E-409C-BE32-E72D297353CC}">
                <c16:uniqueId val="{00000006-3FC8-4BCD-B6C6-FE96FCF27A2D}"/>
              </c:ext>
            </c:extLst>
          </c:dPt>
          <c:xVal>
            <c:numRef>
              <c:f>SML!$B$10</c:f>
              <c:numCache>
                <c:formatCode>0.0</c:formatCode>
                <c:ptCount val="1"/>
                <c:pt idx="0">
                  <c:v>1.2</c:v>
                </c:pt>
              </c:numCache>
            </c:numRef>
          </c:xVal>
          <c:yVal>
            <c:numRef>
              <c:f>SML!$C$10</c:f>
              <c:numCache>
                <c:formatCode>0.00%</c:formatCode>
                <c:ptCount val="1"/>
                <c:pt idx="0">
                  <c:v>8.2000000000000003E-2</c:v>
                </c:pt>
              </c:numCache>
            </c:numRef>
          </c:yVal>
          <c:smooth val="1"/>
          <c:extLst>
            <c:ext xmlns:c16="http://schemas.microsoft.com/office/drawing/2014/chart" uri="{C3380CC4-5D6E-409C-BE32-E72D297353CC}">
              <c16:uniqueId val="{00000007-3FC8-4BCD-B6C6-FE96FCF27A2D}"/>
            </c:ext>
          </c:extLst>
        </c:ser>
        <c:ser>
          <c:idx val="3"/>
          <c:order val="3"/>
          <c:spPr>
            <a:ln>
              <a:solidFill>
                <a:srgbClr val="C00000"/>
              </a:solidFill>
            </a:ln>
          </c:spPr>
          <c:marker>
            <c:symbol val="none"/>
          </c:marker>
          <c:xVal>
            <c:numRef>
              <c:f>SML!$N$10:$N$12</c:f>
              <c:numCache>
                <c:formatCode>0.0</c:formatCode>
                <c:ptCount val="3"/>
                <c:pt idx="0">
                  <c:v>1.2</c:v>
                </c:pt>
                <c:pt idx="1">
                  <c:v>1.2</c:v>
                </c:pt>
                <c:pt idx="2">
                  <c:v>0</c:v>
                </c:pt>
              </c:numCache>
            </c:numRef>
          </c:xVal>
          <c:yVal>
            <c:numRef>
              <c:f>SML!$O$10:$O$12</c:f>
              <c:numCache>
                <c:formatCode>0.0%</c:formatCode>
                <c:ptCount val="3"/>
                <c:pt idx="0" formatCode="0%">
                  <c:v>0</c:v>
                </c:pt>
                <c:pt idx="1">
                  <c:v>8.2000000000000003E-2</c:v>
                </c:pt>
                <c:pt idx="2">
                  <c:v>8.2000000000000003E-2</c:v>
                </c:pt>
              </c:numCache>
            </c:numRef>
          </c:yVal>
          <c:smooth val="0"/>
          <c:extLst>
            <c:ext xmlns:c16="http://schemas.microsoft.com/office/drawing/2014/chart" uri="{C3380CC4-5D6E-409C-BE32-E72D297353CC}">
              <c16:uniqueId val="{00000008-3FC8-4BCD-B6C6-FE96FCF27A2D}"/>
            </c:ext>
          </c:extLst>
        </c:ser>
        <c:ser>
          <c:idx val="4"/>
          <c:order val="4"/>
          <c:spPr>
            <a:ln>
              <a:solidFill>
                <a:srgbClr val="C00000"/>
              </a:solidFill>
              <a:prstDash val="dash"/>
            </a:ln>
          </c:spPr>
          <c:marker>
            <c:symbol val="none"/>
          </c:marker>
          <c:xVal>
            <c:numRef>
              <c:f>SML!$N$14:$N$16</c:f>
              <c:numCache>
                <c:formatCode>0.0</c:formatCode>
                <c:ptCount val="3"/>
                <c:pt idx="0">
                  <c:v>1.2</c:v>
                </c:pt>
                <c:pt idx="1">
                  <c:v>1.2</c:v>
                </c:pt>
                <c:pt idx="2">
                  <c:v>0</c:v>
                </c:pt>
              </c:numCache>
            </c:numRef>
          </c:xVal>
          <c:yVal>
            <c:numRef>
              <c:f>SML!$O$14:$O$16</c:f>
              <c:numCache>
                <c:formatCode>0%</c:formatCode>
                <c:ptCount val="3"/>
                <c:pt idx="0">
                  <c:v>0</c:v>
                </c:pt>
                <c:pt idx="1">
                  <c:v>0.08</c:v>
                </c:pt>
                <c:pt idx="2">
                  <c:v>0.08</c:v>
                </c:pt>
              </c:numCache>
            </c:numRef>
          </c:yVal>
          <c:smooth val="0"/>
          <c:extLst>
            <c:ext xmlns:c16="http://schemas.microsoft.com/office/drawing/2014/chart" uri="{C3380CC4-5D6E-409C-BE32-E72D297353CC}">
              <c16:uniqueId val="{00000009-3FC8-4BCD-B6C6-FE96FCF27A2D}"/>
            </c:ext>
          </c:extLst>
        </c:ser>
        <c:dLbls>
          <c:showLegendKey val="0"/>
          <c:showVal val="0"/>
          <c:showCatName val="0"/>
          <c:showSerName val="0"/>
          <c:showPercent val="0"/>
          <c:showBubbleSize val="0"/>
        </c:dLbls>
        <c:axId val="200902144"/>
        <c:axId val="200904064"/>
      </c:scatterChart>
      <c:valAx>
        <c:axId val="200902144"/>
        <c:scaling>
          <c:orientation val="minMax"/>
          <c:max val="2"/>
          <c:min val="0"/>
        </c:scaling>
        <c:delete val="0"/>
        <c:axPos val="b"/>
        <c:title>
          <c:tx>
            <c:rich>
              <a:bodyPr/>
              <a:lstStyle/>
              <a:p>
                <a:pPr>
                  <a:defRPr i="1">
                    <a:latin typeface="Symbol" pitchFamily="18" charset="2"/>
                  </a:defRPr>
                </a:pPr>
                <a:r>
                  <a:rPr lang="en-US" i="1">
                    <a:latin typeface="Symbol" pitchFamily="18" charset="2"/>
                  </a:rPr>
                  <a:t>b</a:t>
                </a:r>
              </a:p>
            </c:rich>
          </c:tx>
          <c:layout>
            <c:manualLayout>
              <c:xMode val="edge"/>
              <c:yMode val="edge"/>
              <c:x val="0.91680416953228439"/>
              <c:y val="0.90087719298245617"/>
            </c:manualLayout>
          </c:layout>
          <c:overlay val="0"/>
        </c:title>
        <c:numFmt formatCode="0.0" sourceLinked="1"/>
        <c:majorTickMark val="out"/>
        <c:minorTickMark val="none"/>
        <c:tickLblPos val="nextTo"/>
        <c:crossAx val="200904064"/>
        <c:crosses val="autoZero"/>
        <c:crossBetween val="midCat"/>
      </c:valAx>
      <c:valAx>
        <c:axId val="200904064"/>
        <c:scaling>
          <c:orientation val="minMax"/>
          <c:max val="0.2"/>
          <c:min val="0"/>
        </c:scaling>
        <c:delete val="0"/>
        <c:axPos val="l"/>
        <c:title>
          <c:tx>
            <c:rich>
              <a:bodyPr rot="0" vert="horz"/>
              <a:lstStyle/>
              <a:p>
                <a:pPr>
                  <a:defRPr sz="1200"/>
                </a:pPr>
                <a:r>
                  <a:rPr lang="en-US" sz="1200"/>
                  <a:t>E(r)</a:t>
                </a:r>
              </a:p>
            </c:rich>
          </c:tx>
          <c:layout>
            <c:manualLayout>
              <c:xMode val="edge"/>
              <c:yMode val="edge"/>
              <c:x val="2.6143790849673228E-2"/>
              <c:y val="4.4529078602016881E-2"/>
            </c:manualLayout>
          </c:layout>
          <c:overlay val="0"/>
        </c:title>
        <c:numFmt formatCode="0%" sourceLinked="0"/>
        <c:majorTickMark val="out"/>
        <c:minorTickMark val="none"/>
        <c:tickLblPos val="nextTo"/>
        <c:crossAx val="200902144"/>
        <c:crosses val="autoZero"/>
        <c:crossBetween val="midCat"/>
      </c:valAx>
    </c:plotArea>
    <c:plotVisOnly val="1"/>
    <c:dispBlanksAs val="gap"/>
    <c:showDLblsOverMax val="0"/>
  </c:chart>
  <c:txPr>
    <a:bodyPr/>
    <a:lstStyle/>
    <a:p>
      <a:pPr>
        <a:defRPr sz="1600"/>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en-US" u="sng"/>
              <a:t>Security Market Line</a:t>
            </a:r>
          </a:p>
        </c:rich>
      </c:tx>
      <c:overlay val="0"/>
    </c:title>
    <c:autoTitleDeleted val="0"/>
    <c:plotArea>
      <c:layout/>
      <c:scatterChart>
        <c:scatterStyle val="smoothMarker"/>
        <c:varyColors val="0"/>
        <c:ser>
          <c:idx val="0"/>
          <c:order val="0"/>
          <c:spPr>
            <a:ln>
              <a:solidFill>
                <a:schemeClr val="tx1"/>
              </a:solidFill>
            </a:ln>
          </c:spPr>
          <c:dPt>
            <c:idx val="0"/>
            <c:marker>
              <c:symbol val="circle"/>
              <c:size val="12"/>
              <c:spPr>
                <a:solidFill>
                  <a:srgbClr val="00B050"/>
                </a:solidFill>
              </c:spPr>
            </c:marker>
            <c:bubble3D val="0"/>
            <c:extLst>
              <c:ext xmlns:c16="http://schemas.microsoft.com/office/drawing/2014/chart" uri="{C3380CC4-5D6E-409C-BE32-E72D297353CC}">
                <c16:uniqueId val="{00000000-9FB4-481B-9704-5416688C4727}"/>
              </c:ext>
            </c:extLst>
          </c:dPt>
          <c:dPt>
            <c:idx val="1"/>
            <c:marker>
              <c:symbol val="diamond"/>
              <c:size val="12"/>
              <c:spPr>
                <a:solidFill>
                  <a:srgbClr val="0070C0"/>
                </a:solidFill>
              </c:spPr>
            </c:marker>
            <c:bubble3D val="0"/>
            <c:extLst>
              <c:ext xmlns:c16="http://schemas.microsoft.com/office/drawing/2014/chart" uri="{C3380CC4-5D6E-409C-BE32-E72D297353CC}">
                <c16:uniqueId val="{00000001-9FB4-481B-9704-5416688C4727}"/>
              </c:ext>
            </c:extLst>
          </c:dPt>
          <c:dPt>
            <c:idx val="2"/>
            <c:marker>
              <c:symbol val="none"/>
            </c:marker>
            <c:bubble3D val="0"/>
            <c:extLst>
              <c:ext xmlns:c16="http://schemas.microsoft.com/office/drawing/2014/chart" uri="{C3380CC4-5D6E-409C-BE32-E72D297353CC}">
                <c16:uniqueId val="{00000002-9FB4-481B-9704-5416688C4727}"/>
              </c:ext>
            </c:extLst>
          </c:dPt>
          <c:xVal>
            <c:numRef>
              <c:f>Simulation!$N$5:$N$7</c:f>
              <c:numCache>
                <c:formatCode>0.0</c:formatCode>
                <c:ptCount val="3"/>
                <c:pt idx="0">
                  <c:v>0</c:v>
                </c:pt>
                <c:pt idx="1">
                  <c:v>1</c:v>
                </c:pt>
                <c:pt idx="2">
                  <c:v>1.5</c:v>
                </c:pt>
              </c:numCache>
            </c:numRef>
          </c:xVal>
          <c:yVal>
            <c:numRef>
              <c:f>Simulation!$O$5:$O$7</c:f>
              <c:numCache>
                <c:formatCode>0.00%</c:formatCode>
                <c:ptCount val="3"/>
                <c:pt idx="0">
                  <c:v>0.01</c:v>
                </c:pt>
                <c:pt idx="1">
                  <c:v>7.0000000000000007E-2</c:v>
                </c:pt>
                <c:pt idx="2">
                  <c:v>0.1</c:v>
                </c:pt>
              </c:numCache>
            </c:numRef>
          </c:yVal>
          <c:smooth val="1"/>
          <c:extLst>
            <c:ext xmlns:c16="http://schemas.microsoft.com/office/drawing/2014/chart" uri="{C3380CC4-5D6E-409C-BE32-E72D297353CC}">
              <c16:uniqueId val="{00000003-9FB4-481B-9704-5416688C4727}"/>
            </c:ext>
          </c:extLst>
        </c:ser>
        <c:ser>
          <c:idx val="1"/>
          <c:order val="1"/>
          <c:dPt>
            <c:idx val="0"/>
            <c:marker>
              <c:symbol val="square"/>
              <c:size val="12"/>
              <c:spPr>
                <a:solidFill>
                  <a:srgbClr val="C00000"/>
                </a:solidFill>
              </c:spPr>
            </c:marker>
            <c:bubble3D val="0"/>
            <c:extLst>
              <c:ext xmlns:c16="http://schemas.microsoft.com/office/drawing/2014/chart" uri="{C3380CC4-5D6E-409C-BE32-E72D297353CC}">
                <c16:uniqueId val="{00000004-9FB4-481B-9704-5416688C4727}"/>
              </c:ext>
            </c:extLst>
          </c:dPt>
          <c:xVal>
            <c:numRef>
              <c:f>Simulation!$B$8</c:f>
              <c:numCache>
                <c:formatCode>0.0</c:formatCode>
                <c:ptCount val="1"/>
                <c:pt idx="0">
                  <c:v>1.2</c:v>
                </c:pt>
              </c:numCache>
            </c:numRef>
          </c:xVal>
          <c:yVal>
            <c:numRef>
              <c:f>Simulation!$J$8</c:f>
              <c:numCache>
                <c:formatCode>0.00%</c:formatCode>
                <c:ptCount val="1"/>
                <c:pt idx="0">
                  <c:v>8.2048828125000001E-2</c:v>
                </c:pt>
              </c:numCache>
            </c:numRef>
          </c:yVal>
          <c:smooth val="1"/>
          <c:extLst>
            <c:ext xmlns:c16="http://schemas.microsoft.com/office/drawing/2014/chart" uri="{C3380CC4-5D6E-409C-BE32-E72D297353CC}">
              <c16:uniqueId val="{00000005-9FB4-481B-9704-5416688C4727}"/>
            </c:ext>
          </c:extLst>
        </c:ser>
        <c:dLbls>
          <c:showLegendKey val="0"/>
          <c:showVal val="0"/>
          <c:showCatName val="0"/>
          <c:showSerName val="0"/>
          <c:showPercent val="0"/>
          <c:showBubbleSize val="0"/>
        </c:dLbls>
        <c:axId val="201290112"/>
        <c:axId val="201292032"/>
      </c:scatterChart>
      <c:valAx>
        <c:axId val="201290112"/>
        <c:scaling>
          <c:orientation val="minMax"/>
          <c:max val="2"/>
          <c:min val="0"/>
        </c:scaling>
        <c:delete val="0"/>
        <c:axPos val="b"/>
        <c:title>
          <c:tx>
            <c:rich>
              <a:bodyPr/>
              <a:lstStyle/>
              <a:p>
                <a:pPr>
                  <a:defRPr i="1">
                    <a:latin typeface="Symbol" pitchFamily="18" charset="2"/>
                  </a:defRPr>
                </a:pPr>
                <a:r>
                  <a:rPr lang="en-US" i="1">
                    <a:latin typeface="Symbol" pitchFamily="18" charset="2"/>
                  </a:rPr>
                  <a:t>b</a:t>
                </a:r>
              </a:p>
            </c:rich>
          </c:tx>
          <c:layout>
            <c:manualLayout>
              <c:xMode val="edge"/>
              <c:yMode val="edge"/>
              <c:x val="0.91680416953228439"/>
              <c:y val="0.90087719298245617"/>
            </c:manualLayout>
          </c:layout>
          <c:overlay val="0"/>
        </c:title>
        <c:numFmt formatCode="0.0" sourceLinked="1"/>
        <c:majorTickMark val="out"/>
        <c:minorTickMark val="none"/>
        <c:tickLblPos val="nextTo"/>
        <c:crossAx val="201292032"/>
        <c:crosses val="autoZero"/>
        <c:crossBetween val="midCat"/>
      </c:valAx>
      <c:valAx>
        <c:axId val="201292032"/>
        <c:scaling>
          <c:orientation val="minMax"/>
          <c:max val="0.2"/>
          <c:min val="0"/>
        </c:scaling>
        <c:delete val="0"/>
        <c:axPos val="l"/>
        <c:title>
          <c:tx>
            <c:rich>
              <a:bodyPr rot="0" vert="horz"/>
              <a:lstStyle/>
              <a:p>
                <a:pPr>
                  <a:defRPr sz="1200"/>
                </a:pPr>
                <a:r>
                  <a:rPr lang="en-US" sz="1200"/>
                  <a:t>E(r)</a:t>
                </a:r>
              </a:p>
            </c:rich>
          </c:tx>
          <c:layout>
            <c:manualLayout>
              <c:xMode val="edge"/>
              <c:yMode val="edge"/>
              <c:x val="2.6143790849673255E-2"/>
              <c:y val="4.4529078602016881E-2"/>
            </c:manualLayout>
          </c:layout>
          <c:overlay val="0"/>
        </c:title>
        <c:numFmt formatCode="0%" sourceLinked="0"/>
        <c:majorTickMark val="out"/>
        <c:minorTickMark val="none"/>
        <c:tickLblPos val="nextTo"/>
        <c:crossAx val="201290112"/>
        <c:crosses val="autoZero"/>
        <c:crossBetween val="midCat"/>
      </c:valAx>
    </c:plotArea>
    <c:plotVisOnly val="1"/>
    <c:dispBlanksAs val="gap"/>
    <c:showDLblsOverMax val="0"/>
  </c:chart>
  <c:txPr>
    <a:bodyPr/>
    <a:lstStyle/>
    <a:p>
      <a:pPr>
        <a:defRPr sz="1600"/>
      </a:pPr>
      <a:endParaRPr lang="en-US"/>
    </a:p>
  </c:txPr>
  <c:printSettings>
    <c:headerFooter/>
    <c:pageMargins b="0.750000000000001" l="0.70000000000000062" r="0.70000000000000062" t="0.750000000000001"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10</xdr:col>
      <xdr:colOff>600075</xdr:colOff>
      <xdr:row>0</xdr:row>
      <xdr:rowOff>0</xdr:rowOff>
    </xdr:from>
    <xdr:to>
      <xdr:col>20</xdr:col>
      <xdr:colOff>285750</xdr:colOff>
      <xdr:row>23</xdr:row>
      <xdr:rowOff>28575</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28573</xdr:rowOff>
    </xdr:from>
    <xdr:to>
      <xdr:col>10</xdr:col>
      <xdr:colOff>581025</xdr:colOff>
      <xdr:row>59</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0" y="2266948"/>
          <a:ext cx="6696075" cy="9220202"/>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u="sng"/>
            <a:t>Directions</a:t>
          </a:r>
        </a:p>
        <a:p>
          <a:endParaRPr lang="en-US" sz="110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Change the value of cell F3 to </a:t>
          </a:r>
          <a:r>
            <a:rPr lang="en-US" sz="1100" b="1" baseline="0">
              <a:solidFill>
                <a:schemeClr val="dk1"/>
              </a:solidFill>
              <a:effectLst/>
              <a:latin typeface="+mn-lt"/>
              <a:ea typeface="+mn-ea"/>
              <a:cs typeface="+mn-cs"/>
            </a:rPr>
            <a:t>Show</a:t>
          </a:r>
          <a:r>
            <a:rPr lang="en-US" sz="1100" b="0" baseline="0">
              <a:solidFill>
                <a:schemeClr val="dk1"/>
              </a:solidFill>
              <a:effectLst/>
              <a:latin typeface="+mn-lt"/>
              <a:ea typeface="+mn-ea"/>
              <a:cs typeface="+mn-cs"/>
            </a:rPr>
            <a:t> so that calculated quantities are shown. </a:t>
          </a:r>
          <a:endParaRPr lang="en-US">
            <a:effectLst/>
          </a:endParaRPr>
        </a:p>
        <a:p>
          <a:endParaRPr lang="en-US" sz="1100" b="0"/>
        </a:p>
        <a:p>
          <a:r>
            <a:rPr lang="en-US" sz="1100" b="0"/>
            <a:t>2. Enter the risk-free rate (between 0% and 10%) and the expected return on the market portfolio (between the</a:t>
          </a:r>
          <a:r>
            <a:rPr lang="en-US" sz="1100" b="0" baseline="0"/>
            <a:t> risk-free rate and 20%) </a:t>
          </a:r>
          <a:r>
            <a:rPr lang="en-US" sz="1100" b="0"/>
            <a:t>. This defines the security market line. Points on the security market line indicate the rate of return</a:t>
          </a:r>
          <a:r>
            <a:rPr lang="en-US" sz="1100" b="0" baseline="0"/>
            <a:t> that should be expected from the security (or portfolio) commensurate with its risk (</a:t>
          </a:r>
          <a:r>
            <a:rPr lang="en-US" sz="1100" b="0" baseline="0">
              <a:latin typeface="Symbol" pitchFamily="18" charset="2"/>
            </a:rPr>
            <a:t>b</a:t>
          </a:r>
          <a:r>
            <a:rPr lang="en-US" sz="1100" b="0" baseline="0"/>
            <a:t>) . That's why the column heading  </a:t>
          </a:r>
          <a:r>
            <a:rPr lang="en-US" sz="1100" b="0" i="1" baseline="0"/>
            <a:t>E</a:t>
          </a:r>
          <a:r>
            <a:rPr lang="en-US" sz="1100" b="0" baseline="0"/>
            <a:t>(</a:t>
          </a:r>
          <a:r>
            <a:rPr lang="en-US" sz="1100" b="0" i="1" baseline="0"/>
            <a:t>r</a:t>
          </a:r>
          <a:r>
            <a:rPr lang="en-US" sz="1100" b="0" baseline="0"/>
            <a:t>|SML) which stands for expected return conditional on the fact (belief) that the security returns follow the security market line.</a:t>
          </a:r>
        </a:p>
        <a:p>
          <a:endParaRPr lang="en-US" sz="1100" b="0" baseline="0"/>
        </a:p>
        <a:p>
          <a:r>
            <a:rPr lang="en-US" sz="1100" b="0" baseline="0"/>
            <a:t>3. Enter the beta of the risky security (between 0.5 and 1.5). </a:t>
          </a:r>
        </a:p>
        <a:p>
          <a:endParaRPr lang="en-US" sz="1100" b="0" baseline="0"/>
        </a:p>
        <a:p>
          <a:r>
            <a:rPr lang="en-US" sz="1100" b="0" baseline="0"/>
            <a:t>4. Enter the cash flow (between $0.50 and $5.00) you expect from the security next year. Also enter the long-term (perpetual) growth rate you expect in the cash flows. </a:t>
          </a:r>
        </a:p>
        <a:p>
          <a:endParaRPr lang="en-US" sz="1100" b="0" baseline="0"/>
        </a:p>
        <a:p>
          <a:r>
            <a:rPr lang="en-US" sz="1100" b="0" baseline="0">
              <a:solidFill>
                <a:schemeClr val="dk1"/>
              </a:solidFill>
              <a:effectLst/>
              <a:latin typeface="+mn-lt"/>
              <a:ea typeface="+mn-ea"/>
              <a:cs typeface="+mn-cs"/>
            </a:rPr>
            <a:t>5. Enter the security's observed price (between $0.01 and $100.00) </a:t>
          </a:r>
        </a:p>
        <a:p>
          <a:endParaRPr lang="en-US" sz="1100" b="0" baseline="0">
            <a:solidFill>
              <a:schemeClr val="dk1"/>
            </a:solidFill>
            <a:effectLst/>
            <a:latin typeface="+mn-lt"/>
            <a:ea typeface="+mn-ea"/>
            <a:cs typeface="+mn-cs"/>
          </a:endParaRPr>
        </a:p>
        <a:p>
          <a:pPr lvl="1"/>
          <a:r>
            <a:rPr lang="en-US" sz="1100" b="0" baseline="0">
              <a:solidFill>
                <a:schemeClr val="dk1"/>
              </a:solidFill>
              <a:effectLst/>
              <a:latin typeface="+mn-lt"/>
              <a:ea typeface="+mn-ea"/>
              <a:cs typeface="+mn-cs"/>
            </a:rPr>
            <a:t>The model calculates the expected return for the security based on its beta, </a:t>
          </a:r>
          <a:r>
            <a:rPr lang="en-US" sz="1100" b="0" baseline="0"/>
            <a:t>the security's value using the next year's cash flow, long-term growth rate and the expected return given by the SML as the discount rate, and the expected return from the security based on its price and expected future cash flows. </a:t>
          </a:r>
        </a:p>
        <a:p>
          <a:pPr lvl="1"/>
          <a:endParaRPr lang="en-US"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5. Observe the relationship between security's value and price </a:t>
          </a:r>
          <a:r>
            <a:rPr lang="en-US" sz="1100" b="0" i="0" baseline="0">
              <a:solidFill>
                <a:schemeClr val="dk1"/>
              </a:solidFill>
              <a:effectLst/>
              <a:latin typeface="+mn-lt"/>
              <a:ea typeface="+mn-ea"/>
              <a:cs typeface="+mn-cs"/>
            </a:rPr>
            <a:t>relative to</a:t>
          </a:r>
          <a:r>
            <a:rPr lang="en-US" sz="1100" b="0" baseline="0">
              <a:solidFill>
                <a:schemeClr val="dk1"/>
              </a:solidFill>
              <a:effectLst/>
              <a:latin typeface="+mn-lt"/>
              <a:ea typeface="+mn-ea"/>
              <a:cs typeface="+mn-cs"/>
            </a:rPr>
            <a:t> its expected return calculated using the SML and the expected return calculated using its price and expected future cash flow.</a:t>
          </a:r>
          <a:endParaRPr lang="en-US">
            <a:effectLst/>
          </a:endParaRP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6. The chart shows the security's expected return based on its price and expected future cash flows (the red square) </a:t>
          </a:r>
          <a:r>
            <a:rPr lang="en-US" sz="1100" b="0" i="0" baseline="0">
              <a:solidFill>
                <a:schemeClr val="dk1"/>
              </a:solidFill>
              <a:effectLst/>
              <a:latin typeface="+mn-lt"/>
              <a:ea typeface="+mn-ea"/>
              <a:cs typeface="+mn-cs"/>
            </a:rPr>
            <a:t>relative to</a:t>
          </a:r>
          <a:r>
            <a:rPr lang="en-US" sz="1100" b="0" baseline="0">
              <a:solidFill>
                <a:schemeClr val="dk1"/>
              </a:solidFill>
              <a:effectLst/>
              <a:latin typeface="+mn-lt"/>
              <a:ea typeface="+mn-ea"/>
              <a:cs typeface="+mn-cs"/>
            </a:rPr>
            <a:t> the expected return commensurate with its risk. For a security that is overpriced, i.e., price &gt; value, the red square lies below the security market line, and vice versa.</a:t>
          </a:r>
          <a:endParaRPr lang="en-US">
            <a:effectLst/>
          </a:endParaRPr>
        </a:p>
        <a:p>
          <a:endParaRPr lang="en-US" sz="1100" b="0" baseline="0"/>
        </a:p>
        <a:p>
          <a:r>
            <a:rPr lang="en-US" sz="1100" b="0" baseline="0"/>
            <a:t>Now hide the calculated quantities by changing the value of cell F# to </a:t>
          </a:r>
          <a:r>
            <a:rPr lang="en-US" sz="1100" b="1" baseline="0"/>
            <a:t>Hide</a:t>
          </a:r>
          <a:r>
            <a:rPr lang="en-US" sz="1100" b="0" baseline="0"/>
            <a:t>. </a:t>
          </a:r>
        </a:p>
        <a:p>
          <a:endParaRPr lang="en-US" sz="1100" b="0" baseline="0"/>
        </a:p>
        <a:p>
          <a:r>
            <a:rPr lang="en-US" sz="1100" b="0" baseline="0"/>
            <a:t>7. Change the next cash flow (cell E10) or the growth rate (cell F10) to create a disequilibrim in which the security will either by underpriced or overpriced. </a:t>
          </a:r>
        </a:p>
        <a:p>
          <a:endParaRPr lang="en-US">
            <a:effectLst/>
          </a:endParaRPr>
        </a:p>
        <a:p>
          <a:r>
            <a:rPr lang="en-US" sz="1100" b="0" baseline="0">
              <a:solidFill>
                <a:schemeClr val="dk1"/>
              </a:solidFill>
              <a:effectLst/>
              <a:latin typeface="+mn-lt"/>
              <a:ea typeface="+mn-ea"/>
              <a:cs typeface="+mn-cs"/>
            </a:rPr>
            <a:t>8. Enter your guess for the price of the security and see the red quare move on the graph. Revise your estimate of price until the equilibrium is restored. </a:t>
          </a:r>
          <a:endParaRPr lang="en-US">
            <a:effectLst/>
          </a:endParaRPr>
        </a:p>
        <a:p>
          <a:endParaRPr lang="en-US" sz="1100" b="0" baseline="0"/>
        </a:p>
        <a:p>
          <a:endParaRPr lang="en-US" sz="1100" b="0" baseline="0"/>
        </a:p>
        <a:p>
          <a:pPr marL="457200" marR="0" lvl="1"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Think of the change in expected future cash flows as a shock (new information).  In the period (millisecnonds? seconds? minutes?) between the arrival of new information and the adjustment of market prices to this information, the security will either be underpriced (Price &lt;Value and therefore E(r|SML)&gt;E(r|CF)) or overpriced (Price &gt;Value and therefore E(r|SML)&lt;E(r|CF)). </a:t>
          </a:r>
        </a:p>
        <a:p>
          <a:pPr marL="457200" marR="0" lvl="1"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457200" marR="0" lvl="1"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Underpricing will create excess demand which will cause its its price to gradually rise (and the E(r|CF) to fall) until the price equals the value (and E(r|CF)=E(r|SML) ). </a:t>
          </a:r>
        </a:p>
        <a:p>
          <a:pPr marL="457200" marR="0" lvl="1"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457200" marR="0" lvl="1"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Likewise, an overpriced security will experience a price decline because of lack of demand.  </a:t>
          </a:r>
        </a:p>
        <a:p>
          <a:pPr marL="457200" marR="0" lvl="1"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457200" marR="0" lvl="1"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The market forces, therefore, will work to restore equilibrium, i.e., price = value, or E(r|CF)=E(r|SML). In equilibrium,  and the security will lie on the security market line, i.e. the square will be atop the triangle. </a:t>
          </a:r>
          <a:endParaRPr lang="en-US">
            <a:effectLst/>
          </a:endParaRPr>
        </a:p>
        <a:p>
          <a:endParaRPr lang="en-US" sz="1100" b="0" baseline="0"/>
        </a:p>
        <a:p>
          <a:pPr lvl="1"/>
          <a:r>
            <a:rPr lang="en-US" sz="1100" b="0" baseline="0"/>
            <a:t>The trajectory of the price to equilibrium is affected by the market behavior (the market's speed of adjustment and it's tendency to over or under-react. Run the simulation on the Simulation sheet to get a feel for this process.</a:t>
          </a:r>
        </a:p>
        <a:p>
          <a:endParaRPr lang="en-US" sz="1100" b="0" baseline="0"/>
        </a:p>
        <a:p>
          <a:endParaRPr lang="en-US" sz="11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600075</xdr:colOff>
      <xdr:row>0</xdr:row>
      <xdr:rowOff>0</xdr:rowOff>
    </xdr:from>
    <xdr:to>
      <xdr:col>20</xdr:col>
      <xdr:colOff>285750</xdr:colOff>
      <xdr:row>23</xdr:row>
      <xdr:rowOff>28575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xdr:row>
      <xdr:rowOff>190499</xdr:rowOff>
    </xdr:from>
    <xdr:to>
      <xdr:col>4</xdr:col>
      <xdr:colOff>314325</xdr:colOff>
      <xdr:row>37</xdr:row>
      <xdr:rowOff>180975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0" y="1857374"/>
          <a:ext cx="3114675" cy="551497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800" b="1" u="sng"/>
            <a:t>Directions</a:t>
          </a:r>
        </a:p>
        <a:p>
          <a:endParaRPr lang="en-US" sz="1100"/>
        </a:p>
        <a:p>
          <a:r>
            <a:rPr lang="en-US" sz="1100" b="0"/>
            <a:t>This worksheet builds on the worksheet SML and automates the</a:t>
          </a:r>
          <a:r>
            <a:rPr lang="en-US" sz="1100" b="0" baseline="0"/>
            <a:t> process of convergence of stock price to its value (or its expected return to its risk-appropriate expected return).  So, review the instructions for the SML sheet carefully.</a:t>
          </a:r>
        </a:p>
        <a:p>
          <a:endParaRPr lang="en-US" sz="1100" b="0" baseline="0"/>
        </a:p>
        <a:p>
          <a:r>
            <a:rPr lang="en-US" sz="1100" b="0" baseline="0"/>
            <a:t>1. Enter the risk-free rate, the expected market return, the security beta, next year's cash flow and long-term growth rate.</a:t>
          </a:r>
        </a:p>
        <a:p>
          <a:endParaRPr lang="en-US" sz="1100" b="0" baseline="0"/>
        </a:p>
        <a:p>
          <a:r>
            <a:rPr lang="en-US" sz="1100" b="0" baseline="0"/>
            <a:t>2. Misprice the security by giving it a starting alpha between -5% and +5%. </a:t>
          </a:r>
        </a:p>
        <a:p>
          <a:r>
            <a:rPr lang="en-US" sz="1100" b="0" baseline="0"/>
            <a:t> </a:t>
          </a:r>
        </a:p>
        <a:p>
          <a:r>
            <a:rPr lang="en-US" sz="1100" b="0" baseline="0"/>
            <a:t>3. Choose a speed of adjustment between 0 and 1. The convergence of price towards value takes places in several iterative steps. The speed of convergence determines how much the price moves towards value in each step. 0 means the equilibrium will never be reached. 1 means that the equilibrium will be reached in the very first step. The spreadsheet performs a maximum of 200 steps. If the speed of adjustment is very low, the equilibrium may not be  reached even after 200 steps.</a:t>
          </a:r>
        </a:p>
        <a:p>
          <a:endParaRPr lang="en-US" sz="1100" b="0" baseline="0"/>
        </a:p>
        <a:p>
          <a:r>
            <a:rPr lang="en-US" sz="1100" b="0" baseline="0"/>
            <a:t>4. Choose whether the market behavior is overreaction or underreaction.</a:t>
          </a:r>
        </a:p>
        <a:p>
          <a:endParaRPr lang="en-US" sz="1100" b="0" baseline="0"/>
        </a:p>
        <a:p>
          <a:r>
            <a:rPr lang="en-US" sz="1100" b="0" baseline="0"/>
            <a:t>Press the Simulate! button.</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57150</xdr:colOff>
          <xdr:row>18</xdr:row>
          <xdr:rowOff>163830</xdr:rowOff>
        </xdr:from>
        <xdr:to>
          <xdr:col>10</xdr:col>
          <xdr:colOff>49530</xdr:colOff>
          <xdr:row>22</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91440" rIns="91440" bIns="91440" anchor="ctr" upright="1"/>
            <a:lstStyle/>
            <a:p>
              <a:pPr algn="ctr" rtl="0">
                <a:defRPr sz="1000"/>
              </a:pPr>
              <a:r>
                <a:rPr lang="en-US" sz="2000" b="1" i="0" u="none" strike="noStrike" baseline="0">
                  <a:solidFill>
                    <a:srgbClr val="000000"/>
                  </a:solidFill>
                  <a:latin typeface="Calibri"/>
                </a:rPr>
                <a:t>Simulate!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
  <sheetViews>
    <sheetView showGridLines="0" tabSelected="1" workbookViewId="0">
      <selection sqref="A1:K1"/>
    </sheetView>
  </sheetViews>
  <sheetFormatPr defaultRowHeight="14.4" x14ac:dyDescent="0.55000000000000004"/>
  <cols>
    <col min="1" max="1" width="22.15625" bestFit="1" customWidth="1"/>
    <col min="2" max="2" width="6.68359375" customWidth="1"/>
    <col min="3" max="3" width="9.15625" bestFit="1" customWidth="1"/>
    <col min="4" max="4" width="4" customWidth="1"/>
    <col min="5" max="5" width="7" customWidth="1"/>
    <col min="6" max="6" width="7.68359375" customWidth="1"/>
    <col min="7" max="7" width="8.15625" customWidth="1"/>
    <col min="8" max="8" width="7.578125" bestFit="1" customWidth="1"/>
    <col min="9" max="9" width="10.15625" bestFit="1" customWidth="1"/>
  </cols>
  <sheetData>
    <row r="1" spans="1:15" ht="23.1" x14ac:dyDescent="0.85">
      <c r="A1" s="48" t="s">
        <v>3</v>
      </c>
      <c r="B1" s="48"/>
      <c r="C1" s="48"/>
      <c r="D1" s="48"/>
      <c r="E1" s="48"/>
      <c r="F1" s="48"/>
      <c r="G1" s="48"/>
      <c r="H1" s="48"/>
      <c r="I1" s="48"/>
      <c r="J1" s="48"/>
      <c r="K1" s="48"/>
    </row>
    <row r="3" spans="1:15" x14ac:dyDescent="0.55000000000000004">
      <c r="C3" s="49" t="s">
        <v>23</v>
      </c>
      <c r="D3" s="50"/>
      <c r="E3" s="51"/>
      <c r="F3" s="38" t="s">
        <v>22</v>
      </c>
    </row>
    <row r="5" spans="1:15" ht="14.7" x14ac:dyDescent="0.55000000000000004">
      <c r="B5" s="5" t="s">
        <v>0</v>
      </c>
      <c r="C5" s="6" t="s">
        <v>4</v>
      </c>
      <c r="N5" s="2">
        <f>B6</f>
        <v>0</v>
      </c>
      <c r="O5" s="4">
        <f>C6</f>
        <v>0.01</v>
      </c>
    </row>
    <row r="6" spans="1:15" x14ac:dyDescent="0.55000000000000004">
      <c r="A6" s="7" t="s">
        <v>6</v>
      </c>
      <c r="B6" s="40">
        <v>0</v>
      </c>
      <c r="C6" s="8">
        <v>0.01</v>
      </c>
      <c r="E6" s="42" t="str">
        <f>IF(I10-G10&gt;0.01,"Security is overpriced and is in low demand.",IF(I10-G10&lt;-0.01,"Security is underpriced and is in high demand.","Security is priced correctly."))</f>
        <v>Security is overpriced and is in low demand.</v>
      </c>
      <c r="F6" s="43"/>
      <c r="G6" s="43"/>
      <c r="H6" s="43"/>
      <c r="I6" s="44"/>
      <c r="N6" s="2">
        <f>B7</f>
        <v>1</v>
      </c>
      <c r="O6" s="4">
        <f>C7</f>
        <v>7.0000000000000007E-2</v>
      </c>
    </row>
    <row r="7" spans="1:15" x14ac:dyDescent="0.55000000000000004">
      <c r="A7" s="7" t="s">
        <v>7</v>
      </c>
      <c r="B7" s="40">
        <v>1</v>
      </c>
      <c r="C7" s="9">
        <v>7.0000000000000007E-2</v>
      </c>
      <c r="E7" s="45" t="str">
        <f>IF(I10-G10&gt;0.01,"Lower the price to increase demand.",IF(I10-G10&lt;-0.01,"Raise the price to decrease demand.","Equilibrium (or close enough!)"))</f>
        <v>Lower the price to increase demand.</v>
      </c>
      <c r="F7" s="46"/>
      <c r="G7" s="46"/>
      <c r="H7" s="46"/>
      <c r="I7" s="47"/>
      <c r="N7" s="2">
        <v>1.5</v>
      </c>
      <c r="O7" s="4">
        <f>O5+N7*(O6-O5)</f>
        <v>0.1</v>
      </c>
    </row>
    <row r="8" spans="1:15" x14ac:dyDescent="0.55000000000000004">
      <c r="A8" s="41" t="str">
        <f>IF(C7&gt;C6,"","Check E(rM)")</f>
        <v/>
      </c>
    </row>
    <row r="9" spans="1:15" ht="16.8" x14ac:dyDescent="0.75">
      <c r="B9" s="5" t="s">
        <v>0</v>
      </c>
      <c r="C9" s="6" t="s">
        <v>4</v>
      </c>
      <c r="E9" s="6" t="s">
        <v>10</v>
      </c>
      <c r="F9" s="6" t="s">
        <v>9</v>
      </c>
      <c r="G9" s="6" t="s">
        <v>2</v>
      </c>
      <c r="I9" s="14" t="s">
        <v>1</v>
      </c>
      <c r="J9" s="14" t="s">
        <v>5</v>
      </c>
    </row>
    <row r="10" spans="1:15" x14ac:dyDescent="0.55000000000000004">
      <c r="A10" s="7" t="s">
        <v>8</v>
      </c>
      <c r="B10" s="10">
        <v>1.2</v>
      </c>
      <c r="C10" s="36">
        <f>C6+B10*(C7-C6)</f>
        <v>8.2000000000000003E-2</v>
      </c>
      <c r="E10" s="11">
        <v>2</v>
      </c>
      <c r="F10" s="12">
        <v>0.04</v>
      </c>
      <c r="G10" s="13">
        <f>E10/(C10-F10)</f>
        <v>47.619047619047613</v>
      </c>
      <c r="I10" s="15">
        <v>50</v>
      </c>
      <c r="J10" s="36">
        <f>E10/I10+F10</f>
        <v>0.08</v>
      </c>
      <c r="N10" s="2">
        <f>B10</f>
        <v>1.2</v>
      </c>
      <c r="O10" s="1">
        <v>0</v>
      </c>
    </row>
    <row r="11" spans="1:15" x14ac:dyDescent="0.55000000000000004">
      <c r="N11" s="2">
        <f>B10</f>
        <v>1.2</v>
      </c>
      <c r="O11" s="3">
        <f>C10</f>
        <v>8.2000000000000003E-2</v>
      </c>
    </row>
    <row r="12" spans="1:15" x14ac:dyDescent="0.55000000000000004">
      <c r="N12" s="2">
        <v>0</v>
      </c>
      <c r="O12" s="3">
        <f>O11</f>
        <v>8.2000000000000003E-2</v>
      </c>
    </row>
    <row r="14" spans="1:15" x14ac:dyDescent="0.55000000000000004">
      <c r="N14" s="2">
        <f>N10</f>
        <v>1.2</v>
      </c>
      <c r="O14" s="1">
        <f>O10</f>
        <v>0</v>
      </c>
    </row>
    <row r="15" spans="1:15" x14ac:dyDescent="0.55000000000000004">
      <c r="N15" s="2">
        <f>N11</f>
        <v>1.2</v>
      </c>
      <c r="O15" s="1">
        <f>J10</f>
        <v>0.08</v>
      </c>
    </row>
    <row r="16" spans="1:15" x14ac:dyDescent="0.55000000000000004">
      <c r="N16" s="2">
        <f>N12</f>
        <v>0</v>
      </c>
      <c r="O16" s="1">
        <f>O15</f>
        <v>0.08</v>
      </c>
    </row>
  </sheetData>
  <mergeCells count="4">
    <mergeCell ref="E6:I6"/>
    <mergeCell ref="E7:I7"/>
    <mergeCell ref="A1:K1"/>
    <mergeCell ref="C3:E3"/>
  </mergeCells>
  <conditionalFormatting sqref="G10 C10 J10">
    <cfRule type="expression" dxfId="2" priority="8">
      <formula>$F$3="Hide"</formula>
    </cfRule>
  </conditionalFormatting>
  <conditionalFormatting sqref="A8">
    <cfRule type="expression" dxfId="1" priority="10">
      <formula>$A$8=""</formula>
    </cfRule>
  </conditionalFormatting>
  <dataValidations count="10">
    <dataValidation type="custom" allowBlank="1" showInputMessage="1" showErrorMessage="1" error="Expected market return must be higher than the risk-free rate. Otherwise there will be armageddon! Also, please keep the expected market return below 20%." sqref="C8">
      <formula1>AND(C8&gt;C7,C8&lt;=0.2)</formula1>
    </dataValidation>
    <dataValidation type="decimal" allowBlank="1" showInputMessage="1" showErrorMessage="1" error="Please keep the stock price between a penny ($0.01) and $100. Thank you." sqref="I10">
      <formula1>0.01</formula1>
      <formula2>100</formula2>
    </dataValidation>
    <dataValidation type="decimal" allowBlank="1" showInputMessage="1" showErrorMessage="1" error="While betas can be anywhere between -infinity and +infinity, for this worksheet, please limit them to between +0.5 and +1.5." sqref="B10">
      <formula1>0.5</formula1>
      <formula2>1.5</formula2>
    </dataValidation>
    <dataValidation type="decimal" allowBlank="1" showInputMessage="1" showErrorMessage="1" error="Please keep the annual cash flow from the security between $0.50 and $5.00. " sqref="E10">
      <formula1>0.5</formula1>
      <formula2>5</formula2>
    </dataValidation>
    <dataValidation type="decimal" allowBlank="1" showInputMessage="1" showErrorMessage="1" error="Please enter a number between 0% and 10% for risk-free rate." sqref="C6">
      <formula1>0</formula1>
      <formula2>0.1</formula2>
    </dataValidation>
    <dataValidation type="decimal" allowBlank="1" showInputMessage="1" showErrorMessage="1" error="Please enter a number smaller than the discount rate (in cell C8)." sqref="F10">
      <formula1>0</formula1>
      <formula2>$C$10-0.01</formula2>
    </dataValidation>
    <dataValidation type="list" allowBlank="1" showInputMessage="1" showErrorMessage="1" sqref="F3">
      <formula1>"Hide,Show"</formula1>
    </dataValidation>
    <dataValidation type="list" allowBlank="1" showInputMessage="1" showErrorMessage="1" sqref="B6">
      <formula1>"0"</formula1>
    </dataValidation>
    <dataValidation type="list" allowBlank="1" showInputMessage="1" showErrorMessage="1" sqref="B7">
      <formula1>"1"</formula1>
    </dataValidation>
    <dataValidation type="decimal" allowBlank="1" showInputMessage="1" showErrorMessage="1" error="Expected market return must be higher than the risk-free rate. Otherwise there will be armageddon! Also, please keep the expected market return below 20%." sqref="C7">
      <formula1>C6</formula1>
      <formula2>0.2</formula2>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209"/>
  <sheetViews>
    <sheetView showGridLines="0" workbookViewId="0">
      <selection sqref="A1:K1"/>
    </sheetView>
  </sheetViews>
  <sheetFormatPr defaultRowHeight="14.4" x14ac:dyDescent="0.55000000000000004"/>
  <cols>
    <col min="1" max="1" width="22.15625" bestFit="1" customWidth="1"/>
    <col min="2" max="2" width="6.68359375" customWidth="1"/>
    <col min="3" max="3" width="9.15625" bestFit="1" customWidth="1"/>
    <col min="4" max="4" width="4" customWidth="1"/>
    <col min="5" max="5" width="7" customWidth="1"/>
    <col min="6" max="6" width="7.68359375" customWidth="1"/>
    <col min="7" max="7" width="8.15625" customWidth="1"/>
    <col min="8" max="8" width="7.578125" bestFit="1" customWidth="1"/>
    <col min="9" max="9" width="10.15625" bestFit="1" customWidth="1"/>
  </cols>
  <sheetData>
    <row r="1" spans="1:38" ht="23.1" x14ac:dyDescent="0.85">
      <c r="A1" s="48" t="s">
        <v>18</v>
      </c>
      <c r="B1" s="48"/>
      <c r="C1" s="48"/>
      <c r="D1" s="48"/>
      <c r="E1" s="48"/>
      <c r="F1" s="48"/>
      <c r="G1" s="48"/>
      <c r="H1" s="48"/>
      <c r="I1" s="48"/>
      <c r="J1" s="48"/>
      <c r="K1" s="48"/>
      <c r="AG1" s="17"/>
      <c r="AH1" s="18"/>
      <c r="AI1" s="18"/>
      <c r="AJ1" s="18"/>
      <c r="AK1" s="18"/>
      <c r="AL1" s="19"/>
    </row>
    <row r="2" spans="1:38" x14ac:dyDescent="0.55000000000000004">
      <c r="AG2" s="20"/>
      <c r="AH2" s="30" t="s">
        <v>16</v>
      </c>
      <c r="AI2" s="31"/>
      <c r="AJ2" s="31"/>
      <c r="AK2" s="32"/>
      <c r="AL2" s="21"/>
    </row>
    <row r="3" spans="1:38" ht="14.7" x14ac:dyDescent="0.55000000000000004">
      <c r="B3" s="5" t="s">
        <v>0</v>
      </c>
      <c r="C3" s="6" t="s">
        <v>4</v>
      </c>
      <c r="E3" s="55" t="str">
        <f ca="1">IF(I8-G8&gt;0.01,"Overpriced",IF(I8-G8&lt;-0.01,"Underpriced.","Equilibrium (or close enough!)"))</f>
        <v>Underpriced.</v>
      </c>
      <c r="F3" s="55"/>
      <c r="G3" s="55"/>
      <c r="H3" s="55"/>
      <c r="I3" s="55"/>
      <c r="J3" s="55"/>
      <c r="AG3" s="20"/>
      <c r="AH3" s="33" t="s">
        <v>17</v>
      </c>
      <c r="AI3" s="34"/>
      <c r="AJ3" s="34"/>
      <c r="AK3" s="35"/>
      <c r="AL3" s="21"/>
    </row>
    <row r="4" spans="1:38" x14ac:dyDescent="0.55000000000000004">
      <c r="A4" s="7" t="s">
        <v>6</v>
      </c>
      <c r="B4" s="40">
        <v>0</v>
      </c>
      <c r="C4" s="8">
        <v>0.01</v>
      </c>
      <c r="E4" s="55"/>
      <c r="F4" s="55"/>
      <c r="G4" s="55"/>
      <c r="H4" s="55"/>
      <c r="I4" s="55"/>
      <c r="J4" s="55"/>
      <c r="AG4" s="20"/>
      <c r="AH4" s="24"/>
      <c r="AI4" s="24"/>
      <c r="AJ4" s="24"/>
      <c r="AK4" s="24"/>
      <c r="AL4" s="21"/>
    </row>
    <row r="5" spans="1:38" x14ac:dyDescent="0.55000000000000004">
      <c r="A5" s="7" t="s">
        <v>7</v>
      </c>
      <c r="B5" s="40">
        <v>1</v>
      </c>
      <c r="C5" s="9">
        <v>7.0000000000000007E-2</v>
      </c>
      <c r="E5" s="55"/>
      <c r="F5" s="55"/>
      <c r="G5" s="55"/>
      <c r="H5" s="55"/>
      <c r="I5" s="55"/>
      <c r="J5" s="55"/>
      <c r="N5" s="2">
        <f>B4</f>
        <v>0</v>
      </c>
      <c r="O5" s="4">
        <f>C4</f>
        <v>0.01</v>
      </c>
      <c r="Q5" t="s">
        <v>21</v>
      </c>
      <c r="R5" s="39">
        <f ca="1">I8-G8</f>
        <v>-3.8077289790514612E-2</v>
      </c>
      <c r="AG5" s="20"/>
      <c r="AH5" s="52" t="s">
        <v>19</v>
      </c>
      <c r="AI5" s="52"/>
      <c r="AJ5" s="24">
        <f>MIN(1/I14,100)</f>
        <v>2</v>
      </c>
      <c r="AK5" s="24"/>
      <c r="AL5" s="21"/>
    </row>
    <row r="6" spans="1:38" x14ac:dyDescent="0.55000000000000004">
      <c r="A6" s="41" t="str">
        <f>IF(C7&gt;C6,"","Check E(rM)")</f>
        <v/>
      </c>
      <c r="N6" s="2">
        <f>B5</f>
        <v>1</v>
      </c>
      <c r="O6" s="4">
        <f>C5</f>
        <v>7.0000000000000007E-2</v>
      </c>
      <c r="AG6" s="20"/>
      <c r="AH6" s="24"/>
      <c r="AI6" s="24"/>
      <c r="AJ6" s="24"/>
      <c r="AK6" s="24"/>
      <c r="AL6" s="21"/>
    </row>
    <row r="7" spans="1:38" ht="16.8" x14ac:dyDescent="0.75">
      <c r="B7" s="5" t="s">
        <v>0</v>
      </c>
      <c r="C7" s="6" t="s">
        <v>4</v>
      </c>
      <c r="E7" s="6" t="s">
        <v>10</v>
      </c>
      <c r="F7" s="6" t="s">
        <v>9</v>
      </c>
      <c r="G7" s="6" t="s">
        <v>2</v>
      </c>
      <c r="I7" s="14" t="s">
        <v>1</v>
      </c>
      <c r="J7" s="14" t="s">
        <v>5</v>
      </c>
      <c r="N7" s="2">
        <v>1.5</v>
      </c>
      <c r="O7" s="4">
        <f>O5+N7*(O6-O5)</f>
        <v>0.1</v>
      </c>
      <c r="AG7" s="20"/>
      <c r="AH7" s="25" t="s">
        <v>11</v>
      </c>
      <c r="AI7" s="25" t="s">
        <v>12</v>
      </c>
      <c r="AJ7" s="25" t="s">
        <v>13</v>
      </c>
      <c r="AK7" s="25" t="s">
        <v>14</v>
      </c>
      <c r="AL7" s="21"/>
    </row>
    <row r="8" spans="1:38" x14ac:dyDescent="0.55000000000000004">
      <c r="A8" s="7" t="s">
        <v>8</v>
      </c>
      <c r="B8" s="10">
        <v>1.2</v>
      </c>
      <c r="C8" s="36">
        <f>C4+B8*(C5-C4)</f>
        <v>8.2000000000000003E-2</v>
      </c>
      <c r="E8" s="11">
        <v>3</v>
      </c>
      <c r="F8" s="12">
        <v>0.02</v>
      </c>
      <c r="G8" s="13">
        <f>E8/(C8-F8)</f>
        <v>48.387096774193552</v>
      </c>
      <c r="I8" s="13">
        <f ca="1">IF(OFFSET(AK7,StepNumber+1,0)="","",OFFSET(AK7,StepNumber+1,0))</f>
        <v>48.349019484403037</v>
      </c>
      <c r="J8" s="16">
        <f ca="1">IF(I8="","NC",E8/I8+F8)</f>
        <v>8.2048828125000001E-2</v>
      </c>
      <c r="AG8" s="20"/>
      <c r="AH8" s="26">
        <v>0</v>
      </c>
      <c r="AI8" s="27">
        <f>IF(AH8=0,$I$13,AI7*(1-$I$14)*IF($I$15="Overreaction",-1,1))</f>
        <v>0.05</v>
      </c>
      <c r="AJ8" s="27">
        <f t="shared" ref="AJ8:AJ28" si="0">$C$8+AI8</f>
        <v>0.13200000000000001</v>
      </c>
      <c r="AK8" s="28">
        <f t="shared" ref="AK8:AK28" si="1">$E$8/(AJ8-$F$8)</f>
        <v>26.785714285714285</v>
      </c>
      <c r="AL8" s="21"/>
    </row>
    <row r="9" spans="1:38" x14ac:dyDescent="0.55000000000000004">
      <c r="B9" s="1"/>
      <c r="C9" s="2"/>
      <c r="AG9" s="20"/>
      <c r="AH9" s="26">
        <v>1</v>
      </c>
      <c r="AI9" s="27">
        <f t="shared" ref="AI9:AI28" si="2">IF(AH9=0,$I$13,AI8*(1-$I$14)*IF($I$15="Overreaction",-1,1))</f>
        <v>-2.5000000000000001E-2</v>
      </c>
      <c r="AJ9" s="27">
        <f t="shared" si="0"/>
        <v>5.7000000000000002E-2</v>
      </c>
      <c r="AK9" s="28">
        <f t="shared" si="1"/>
        <v>81.081081081081066</v>
      </c>
      <c r="AL9" s="21"/>
    </row>
    <row r="10" spans="1:38" x14ac:dyDescent="0.55000000000000004">
      <c r="N10" s="2">
        <f>B8</f>
        <v>1.2</v>
      </c>
      <c r="O10" s="1">
        <v>0</v>
      </c>
      <c r="AG10" s="20"/>
      <c r="AH10" s="26">
        <v>2</v>
      </c>
      <c r="AI10" s="27">
        <f t="shared" si="2"/>
        <v>1.2500000000000001E-2</v>
      </c>
      <c r="AJ10" s="27">
        <f t="shared" si="0"/>
        <v>9.4500000000000001E-2</v>
      </c>
      <c r="AK10" s="28">
        <f t="shared" si="1"/>
        <v>40.26845637583893</v>
      </c>
      <c r="AL10" s="21"/>
    </row>
    <row r="11" spans="1:38" x14ac:dyDescent="0.55000000000000004">
      <c r="N11" s="2">
        <f>B8</f>
        <v>1.2</v>
      </c>
      <c r="O11" s="3">
        <f>C8</f>
        <v>8.2000000000000003E-2</v>
      </c>
      <c r="AG11" s="20"/>
      <c r="AH11" s="26">
        <v>3</v>
      </c>
      <c r="AI11" s="27">
        <f t="shared" si="2"/>
        <v>-6.2500000000000003E-3</v>
      </c>
      <c r="AJ11" s="27">
        <f t="shared" si="0"/>
        <v>7.5749999999999998E-2</v>
      </c>
      <c r="AK11" s="28">
        <f t="shared" si="1"/>
        <v>53.811659192825118</v>
      </c>
      <c r="AL11" s="21"/>
    </row>
    <row r="12" spans="1:38" x14ac:dyDescent="0.55000000000000004">
      <c r="F12" s="59" t="s">
        <v>15</v>
      </c>
      <c r="G12" s="60"/>
      <c r="H12" s="60"/>
      <c r="I12" s="60"/>
      <c r="J12" s="61"/>
      <c r="N12" s="2">
        <v>0</v>
      </c>
      <c r="O12" s="3">
        <f>O11</f>
        <v>8.2000000000000003E-2</v>
      </c>
      <c r="AG12" s="20"/>
      <c r="AH12" s="26">
        <v>4</v>
      </c>
      <c r="AI12" s="27">
        <f t="shared" si="2"/>
        <v>3.1250000000000002E-3</v>
      </c>
      <c r="AJ12" s="27">
        <f t="shared" si="0"/>
        <v>8.5125000000000006E-2</v>
      </c>
      <c r="AK12" s="28">
        <f t="shared" si="1"/>
        <v>46.065259117082533</v>
      </c>
      <c r="AL12" s="21"/>
    </row>
    <row r="13" spans="1:38" x14ac:dyDescent="0.55000000000000004">
      <c r="F13" s="56" t="s">
        <v>25</v>
      </c>
      <c r="G13" s="56"/>
      <c r="H13" s="56"/>
      <c r="I13" s="57">
        <v>0.05</v>
      </c>
      <c r="J13" s="58"/>
      <c r="AG13" s="20"/>
      <c r="AH13" s="26">
        <v>5</v>
      </c>
      <c r="AI13" s="27">
        <f t="shared" si="2"/>
        <v>-1.5625000000000001E-3</v>
      </c>
      <c r="AJ13" s="27">
        <f t="shared" si="0"/>
        <v>8.0437500000000009E-2</v>
      </c>
      <c r="AK13" s="28">
        <f t="shared" si="1"/>
        <v>49.638055842812818</v>
      </c>
      <c r="AL13" s="21"/>
    </row>
    <row r="14" spans="1:38" x14ac:dyDescent="0.55000000000000004">
      <c r="F14" s="53" t="s">
        <v>26</v>
      </c>
      <c r="G14" s="53"/>
      <c r="H14" s="53"/>
      <c r="I14" s="62">
        <v>0.5</v>
      </c>
      <c r="J14" s="63"/>
      <c r="N14" s="2">
        <f>N10</f>
        <v>1.2</v>
      </c>
      <c r="O14" s="1">
        <f>O10</f>
        <v>0</v>
      </c>
      <c r="AG14" s="20"/>
      <c r="AH14" s="26">
        <v>6</v>
      </c>
      <c r="AI14" s="27">
        <f t="shared" si="2"/>
        <v>7.8125000000000004E-4</v>
      </c>
      <c r="AJ14" s="27">
        <f t="shared" si="0"/>
        <v>8.2781250000000001E-2</v>
      </c>
      <c r="AK14" s="28">
        <f t="shared" si="1"/>
        <v>47.784967645594826</v>
      </c>
      <c r="AL14" s="21"/>
    </row>
    <row r="15" spans="1:38" x14ac:dyDescent="0.55000000000000004">
      <c r="F15" s="53" t="s">
        <v>28</v>
      </c>
      <c r="G15" s="53"/>
      <c r="H15" s="53"/>
      <c r="I15" s="54" t="s">
        <v>20</v>
      </c>
      <c r="J15" s="54"/>
      <c r="N15" s="2">
        <f>N11</f>
        <v>1.2</v>
      </c>
      <c r="O15" s="1">
        <f ca="1">J8</f>
        <v>8.2048828125000001E-2</v>
      </c>
      <c r="AG15" s="20"/>
      <c r="AH15" s="26">
        <v>7</v>
      </c>
      <c r="AI15" s="27">
        <f t="shared" si="2"/>
        <v>-3.9062500000000002E-4</v>
      </c>
      <c r="AJ15" s="27">
        <f t="shared" si="0"/>
        <v>8.1609374999999998E-2</v>
      </c>
      <c r="AK15" s="28">
        <f t="shared" si="1"/>
        <v>48.693887902612232</v>
      </c>
      <c r="AL15" s="21"/>
    </row>
    <row r="16" spans="1:38" x14ac:dyDescent="0.55000000000000004">
      <c r="F16" s="53" t="s">
        <v>27</v>
      </c>
      <c r="G16" s="53"/>
      <c r="H16" s="53"/>
      <c r="I16" s="64">
        <v>10</v>
      </c>
      <c r="J16" s="63"/>
      <c r="N16" s="2">
        <f>N12</f>
        <v>0</v>
      </c>
      <c r="O16" s="1">
        <f ca="1">O15</f>
        <v>8.2048828125000001E-2</v>
      </c>
      <c r="AG16" s="20"/>
      <c r="AH16" s="26">
        <v>8</v>
      </c>
      <c r="AI16" s="27">
        <f t="shared" si="2"/>
        <v>1.9531250000000001E-4</v>
      </c>
      <c r="AJ16" s="27">
        <f t="shared" si="0"/>
        <v>8.2195312500000006E-2</v>
      </c>
      <c r="AK16" s="28">
        <f t="shared" si="1"/>
        <v>48.235146338399694</v>
      </c>
      <c r="AL16" s="21"/>
    </row>
    <row r="17" spans="7:38" x14ac:dyDescent="0.55000000000000004">
      <c r="AG17" s="20"/>
      <c r="AH17" s="26">
        <v>9</v>
      </c>
      <c r="AI17" s="27">
        <f t="shared" si="2"/>
        <v>-9.7656250000000005E-5</v>
      </c>
      <c r="AJ17" s="27">
        <f t="shared" si="0"/>
        <v>8.1902343750000009E-2</v>
      </c>
      <c r="AK17" s="28">
        <f t="shared" si="1"/>
        <v>48.463431564333938</v>
      </c>
      <c r="AL17" s="21"/>
    </row>
    <row r="18" spans="7:38" x14ac:dyDescent="0.55000000000000004">
      <c r="G18" s="53" t="s">
        <v>24</v>
      </c>
      <c r="H18" s="53"/>
      <c r="I18" s="37">
        <v>10</v>
      </c>
      <c r="AG18" s="20"/>
      <c r="AH18" s="26">
        <v>10</v>
      </c>
      <c r="AI18" s="27">
        <f t="shared" si="2"/>
        <v>4.8828125000000003E-5</v>
      </c>
      <c r="AJ18" s="27">
        <f t="shared" si="0"/>
        <v>8.2048828125000001E-2</v>
      </c>
      <c r="AK18" s="28">
        <f t="shared" si="1"/>
        <v>48.349019484403037</v>
      </c>
      <c r="AL18" s="21"/>
    </row>
    <row r="19" spans="7:38" x14ac:dyDescent="0.55000000000000004">
      <c r="AG19" s="20"/>
      <c r="AH19" s="26">
        <v>11</v>
      </c>
      <c r="AI19" s="27">
        <f t="shared" si="2"/>
        <v>-2.4414062500000001E-5</v>
      </c>
      <c r="AJ19" s="27">
        <f t="shared" si="0"/>
        <v>8.1975585937499998E-2</v>
      </c>
      <c r="AK19" s="28">
        <f t="shared" si="1"/>
        <v>48.406157918787329</v>
      </c>
      <c r="AL19" s="21"/>
    </row>
    <row r="20" spans="7:38" x14ac:dyDescent="0.55000000000000004">
      <c r="AG20" s="20"/>
      <c r="AH20" s="26">
        <v>12</v>
      </c>
      <c r="AI20" s="27">
        <f t="shared" si="2"/>
        <v>1.2207031250000001E-5</v>
      </c>
      <c r="AJ20" s="27">
        <f t="shared" si="0"/>
        <v>8.2012207031250006E-2</v>
      </c>
      <c r="AK20" s="28">
        <f t="shared" si="1"/>
        <v>48.377571830143069</v>
      </c>
      <c r="AL20" s="21"/>
    </row>
    <row r="21" spans="7:38" x14ac:dyDescent="0.55000000000000004">
      <c r="AG21" s="20"/>
      <c r="AH21" s="26">
        <v>13</v>
      </c>
      <c r="AI21" s="27">
        <f t="shared" si="2"/>
        <v>-6.1035156250000003E-6</v>
      </c>
      <c r="AJ21" s="27">
        <f t="shared" si="0"/>
        <v>8.1993896484375009E-2</v>
      </c>
      <c r="AK21" s="28">
        <f t="shared" si="1"/>
        <v>48.391860652864793</v>
      </c>
      <c r="AL21" s="21"/>
    </row>
    <row r="22" spans="7:38" x14ac:dyDescent="0.55000000000000004">
      <c r="AG22" s="20"/>
      <c r="AH22" s="26">
        <v>14</v>
      </c>
      <c r="AI22" s="27">
        <f t="shared" si="2"/>
        <v>3.0517578125000002E-6</v>
      </c>
      <c r="AJ22" s="27">
        <f t="shared" si="0"/>
        <v>8.2003051757812501E-2</v>
      </c>
      <c r="AK22" s="28">
        <f t="shared" si="1"/>
        <v>48.384715186571356</v>
      </c>
      <c r="AL22" s="21"/>
    </row>
    <row r="23" spans="7:38" x14ac:dyDescent="0.55000000000000004">
      <c r="AG23" s="20"/>
      <c r="AH23" s="26">
        <v>15</v>
      </c>
      <c r="AI23" s="27">
        <f t="shared" si="2"/>
        <v>-1.5258789062500001E-6</v>
      </c>
      <c r="AJ23" s="27">
        <f t="shared" si="0"/>
        <v>8.1998474121093748E-2</v>
      </c>
      <c r="AK23" s="28">
        <f t="shared" si="1"/>
        <v>48.388287655926518</v>
      </c>
      <c r="AL23" s="21"/>
    </row>
    <row r="24" spans="7:38" x14ac:dyDescent="0.55000000000000004">
      <c r="AG24" s="20"/>
      <c r="AH24" s="26">
        <v>16</v>
      </c>
      <c r="AI24" s="27">
        <f t="shared" si="2"/>
        <v>7.6293945312500004E-7</v>
      </c>
      <c r="AJ24" s="27">
        <f t="shared" si="0"/>
        <v>8.2000762939453131E-2</v>
      </c>
      <c r="AK24" s="28">
        <f t="shared" si="1"/>
        <v>48.38650135530834</v>
      </c>
      <c r="AL24" s="21"/>
    </row>
    <row r="25" spans="7:38" x14ac:dyDescent="0.55000000000000004">
      <c r="AG25" s="20"/>
      <c r="AH25" s="26">
        <v>17</v>
      </c>
      <c r="AI25" s="27">
        <f t="shared" si="2"/>
        <v>-3.8146972656250002E-7</v>
      </c>
      <c r="AJ25" s="27">
        <f t="shared" si="0"/>
        <v>8.1999618530273446E-2</v>
      </c>
      <c r="AK25" s="28">
        <f t="shared" si="1"/>
        <v>48.387394489131367</v>
      </c>
      <c r="AL25" s="21"/>
    </row>
    <row r="26" spans="7:38" x14ac:dyDescent="0.55000000000000004">
      <c r="AG26" s="20"/>
      <c r="AH26" s="26">
        <v>18</v>
      </c>
      <c r="AI26" s="27">
        <f t="shared" si="2"/>
        <v>1.9073486328125001E-7</v>
      </c>
      <c r="AJ26" s="27">
        <f t="shared" si="0"/>
        <v>8.2000190734863282E-2</v>
      </c>
      <c r="AK26" s="28">
        <f t="shared" si="1"/>
        <v>48.386947918098457</v>
      </c>
      <c r="AL26" s="21"/>
    </row>
    <row r="27" spans="7:38" x14ac:dyDescent="0.55000000000000004">
      <c r="AG27" s="20"/>
      <c r="AH27" s="26">
        <v>19</v>
      </c>
      <c r="AI27" s="27">
        <f t="shared" si="2"/>
        <v>-9.5367431640625005E-8</v>
      </c>
      <c r="AJ27" s="27">
        <f t="shared" si="0"/>
        <v>8.1999904632568357E-2</v>
      </c>
      <c r="AK27" s="28">
        <f t="shared" si="1"/>
        <v>48.387171202584554</v>
      </c>
      <c r="AL27" s="21"/>
    </row>
    <row r="28" spans="7:38" x14ac:dyDescent="0.55000000000000004">
      <c r="AG28" s="20"/>
      <c r="AH28" s="26">
        <v>20</v>
      </c>
      <c r="AI28" s="27">
        <f t="shared" si="2"/>
        <v>4.7683715820312503E-8</v>
      </c>
      <c r="AJ28" s="27">
        <f t="shared" si="0"/>
        <v>8.2000047683715827E-2</v>
      </c>
      <c r="AK28" s="28">
        <f t="shared" si="1"/>
        <v>48.387059560083912</v>
      </c>
      <c r="AL28" s="21"/>
    </row>
    <row r="29" spans="7:38" x14ac:dyDescent="0.55000000000000004">
      <c r="AG29" s="20"/>
      <c r="AH29" s="26">
        <v>21</v>
      </c>
      <c r="AI29" s="27">
        <f t="shared" ref="AI29:AI37" si="3">IF(AH29=0,$I$13,AI28*(1-$I$14)*IF($I$15="Overreaction",-1,1))</f>
        <v>-2.3841857910156251E-8</v>
      </c>
      <c r="AJ29" s="27">
        <f t="shared" ref="AJ29:AJ37" si="4">$C$8+AI29</f>
        <v>8.1999976158142099E-2</v>
      </c>
      <c r="AK29" s="28">
        <f t="shared" ref="AK29:AK37" si="5">$E$8/(AJ29-$F$8)</f>
        <v>48.38711538126983</v>
      </c>
      <c r="AL29" s="21"/>
    </row>
    <row r="30" spans="7:38" x14ac:dyDescent="0.55000000000000004">
      <c r="AG30" s="20"/>
      <c r="AH30" s="26">
        <v>22</v>
      </c>
      <c r="AI30" s="27">
        <f t="shared" si="3"/>
        <v>1.1920928955078126E-8</v>
      </c>
      <c r="AJ30" s="27">
        <f t="shared" si="4"/>
        <v>8.2000011920928956E-2</v>
      </c>
      <c r="AK30" s="28">
        <f t="shared" si="5"/>
        <v>48.387087470660774</v>
      </c>
      <c r="AL30" s="21"/>
    </row>
    <row r="31" spans="7:38" x14ac:dyDescent="0.55000000000000004">
      <c r="AG31" s="20"/>
      <c r="AH31" s="26">
        <v>23</v>
      </c>
      <c r="AI31" s="27">
        <f t="shared" si="3"/>
        <v>-5.9604644775390628E-9</v>
      </c>
      <c r="AJ31" s="27">
        <f t="shared" si="4"/>
        <v>8.199999403953552E-2</v>
      </c>
      <c r="AK31" s="28">
        <f t="shared" si="5"/>
        <v>48.387101425961283</v>
      </c>
      <c r="AL31" s="21"/>
    </row>
    <row r="32" spans="7:38" x14ac:dyDescent="0.55000000000000004">
      <c r="AG32" s="20"/>
      <c r="AH32" s="26">
        <v>24</v>
      </c>
      <c r="AI32" s="27">
        <f t="shared" si="3"/>
        <v>2.9802322387695314E-9</v>
      </c>
      <c r="AJ32" s="27">
        <f t="shared" si="4"/>
        <v>8.2000002980232245E-2</v>
      </c>
      <c r="AK32" s="28">
        <f t="shared" si="5"/>
        <v>48.387094448310016</v>
      </c>
      <c r="AL32" s="21"/>
    </row>
    <row r="33" spans="33:38" x14ac:dyDescent="0.55000000000000004">
      <c r="AG33" s="20"/>
      <c r="AH33" s="26">
        <v>25</v>
      </c>
      <c r="AI33" s="27">
        <f t="shared" si="3"/>
        <v>-1.4901161193847657E-9</v>
      </c>
      <c r="AJ33" s="27">
        <f t="shared" si="4"/>
        <v>8.199999850988389E-2</v>
      </c>
      <c r="AK33" s="28">
        <f t="shared" si="5"/>
        <v>48.387097937135394</v>
      </c>
      <c r="AL33" s="21"/>
    </row>
    <row r="34" spans="33:38" x14ac:dyDescent="0.55000000000000004">
      <c r="AG34" s="20"/>
      <c r="AH34" s="26">
        <v>26</v>
      </c>
      <c r="AI34" s="27">
        <f t="shared" si="3"/>
        <v>7.4505805969238285E-10</v>
      </c>
      <c r="AJ34" s="27">
        <f t="shared" si="4"/>
        <v>8.200000074505806E-2</v>
      </c>
      <c r="AK34" s="28">
        <f t="shared" si="5"/>
        <v>48.387096192722645</v>
      </c>
      <c r="AL34" s="21"/>
    </row>
    <row r="35" spans="33:38" x14ac:dyDescent="0.55000000000000004">
      <c r="AG35" s="20"/>
      <c r="AH35" s="26">
        <v>27</v>
      </c>
      <c r="AI35" s="27">
        <f t="shared" si="3"/>
        <v>-3.7252902984619143E-10</v>
      </c>
      <c r="AJ35" s="27">
        <f t="shared" si="4"/>
        <v>8.1999999627470968E-2</v>
      </c>
      <c r="AK35" s="28">
        <f t="shared" si="5"/>
        <v>48.387097064929009</v>
      </c>
      <c r="AL35" s="21"/>
    </row>
    <row r="36" spans="33:38" x14ac:dyDescent="0.55000000000000004">
      <c r="AG36" s="20"/>
      <c r="AH36" s="26">
        <v>28</v>
      </c>
      <c r="AI36" s="27">
        <f t="shared" si="3"/>
        <v>1.8626451492309571E-10</v>
      </c>
      <c r="AJ36" s="27">
        <f t="shared" si="4"/>
        <v>8.2000000186264521E-2</v>
      </c>
      <c r="AK36" s="28">
        <f t="shared" si="5"/>
        <v>48.387096628825816</v>
      </c>
      <c r="AL36" s="21"/>
    </row>
    <row r="37" spans="33:38" x14ac:dyDescent="0.55000000000000004">
      <c r="AG37" s="20"/>
      <c r="AH37" s="26">
        <v>29</v>
      </c>
      <c r="AI37" s="27">
        <f t="shared" si="3"/>
        <v>-9.3132257461547857E-11</v>
      </c>
      <c r="AJ37" s="27">
        <f t="shared" si="4"/>
        <v>8.1999999906867752E-2</v>
      </c>
      <c r="AK37" s="28">
        <f t="shared" si="5"/>
        <v>48.387096846877405</v>
      </c>
      <c r="AL37" s="21"/>
    </row>
    <row r="38" spans="33:38" x14ac:dyDescent="0.55000000000000004">
      <c r="AG38" s="20"/>
      <c r="AH38" s="26">
        <v>30</v>
      </c>
      <c r="AI38" s="27">
        <f t="shared" ref="AI38:AI49" si="6">IF(AH38=0,$I$13,AI37*(1-$I$14)*IF($I$15="Overreaction",-1,1))</f>
        <v>4.6566128730773928E-11</v>
      </c>
      <c r="AJ38" s="27">
        <f t="shared" ref="AJ38:AJ49" si="7">$C$8+AI38</f>
        <v>8.2000000046566129E-2</v>
      </c>
      <c r="AK38" s="28">
        <f t="shared" ref="AK38:AK49" si="8">$E$8/(AJ38-$F$8)</f>
        <v>48.387096737851621</v>
      </c>
      <c r="AL38" s="21"/>
    </row>
    <row r="39" spans="33:38" x14ac:dyDescent="0.55000000000000004">
      <c r="AG39" s="20"/>
      <c r="AH39" s="26">
        <v>31</v>
      </c>
      <c r="AI39" s="27">
        <f t="shared" si="6"/>
        <v>-2.3283064365386964E-11</v>
      </c>
      <c r="AJ39" s="27">
        <f t="shared" si="7"/>
        <v>8.1999999976716934E-2</v>
      </c>
      <c r="AK39" s="28">
        <f t="shared" si="8"/>
        <v>48.387096792364517</v>
      </c>
      <c r="AL39" s="21"/>
    </row>
    <row r="40" spans="33:38" x14ac:dyDescent="0.55000000000000004">
      <c r="AG40" s="20"/>
      <c r="AH40" s="26">
        <v>32</v>
      </c>
      <c r="AI40" s="27">
        <f t="shared" si="6"/>
        <v>1.1641532182693482E-11</v>
      </c>
      <c r="AJ40" s="27">
        <f t="shared" si="7"/>
        <v>8.2000000011641538E-2</v>
      </c>
      <c r="AK40" s="28">
        <f t="shared" si="8"/>
        <v>48.387096765108062</v>
      </c>
      <c r="AL40" s="21"/>
    </row>
    <row r="41" spans="33:38" x14ac:dyDescent="0.55000000000000004">
      <c r="AG41" s="20"/>
      <c r="AH41" s="26">
        <v>33</v>
      </c>
      <c r="AI41" s="27">
        <f t="shared" si="6"/>
        <v>-5.820766091346741E-12</v>
      </c>
      <c r="AJ41" s="27">
        <f t="shared" si="7"/>
        <v>8.1999999994179243E-2</v>
      </c>
      <c r="AK41" s="28">
        <f t="shared" si="8"/>
        <v>48.387096778736286</v>
      </c>
      <c r="AL41" s="21"/>
    </row>
    <row r="42" spans="33:38" x14ac:dyDescent="0.55000000000000004">
      <c r="AG42" s="20"/>
      <c r="AH42" s="26">
        <v>34</v>
      </c>
      <c r="AI42" s="27">
        <f t="shared" si="6"/>
        <v>2.9103830456733705E-12</v>
      </c>
      <c r="AJ42" s="27">
        <f t="shared" si="7"/>
        <v>8.2000000002910384E-2</v>
      </c>
      <c r="AK42" s="28">
        <f t="shared" si="8"/>
        <v>48.387096771922181</v>
      </c>
      <c r="AL42" s="21"/>
    </row>
    <row r="43" spans="33:38" x14ac:dyDescent="0.55000000000000004">
      <c r="AG43" s="20"/>
      <c r="AH43" s="26">
        <v>35</v>
      </c>
      <c r="AI43" s="27">
        <f t="shared" si="6"/>
        <v>-1.4551915228366853E-12</v>
      </c>
      <c r="AJ43" s="27">
        <f t="shared" si="7"/>
        <v>8.1999999998544806E-2</v>
      </c>
      <c r="AK43" s="28">
        <f t="shared" si="8"/>
        <v>48.38709677532924</v>
      </c>
      <c r="AL43" s="21"/>
    </row>
    <row r="44" spans="33:38" x14ac:dyDescent="0.55000000000000004">
      <c r="AG44" s="20"/>
      <c r="AH44" s="26">
        <v>36</v>
      </c>
      <c r="AI44" s="27">
        <f t="shared" si="6"/>
        <v>7.2759576141834263E-13</v>
      </c>
      <c r="AJ44" s="27">
        <f t="shared" si="7"/>
        <v>8.2000000000727602E-2</v>
      </c>
      <c r="AK44" s="28">
        <f t="shared" si="8"/>
        <v>48.387096773625707</v>
      </c>
      <c r="AL44" s="21"/>
    </row>
    <row r="45" spans="33:38" x14ac:dyDescent="0.55000000000000004">
      <c r="AG45" s="20"/>
      <c r="AH45" s="26">
        <v>37</v>
      </c>
      <c r="AI45" s="27">
        <f t="shared" si="6"/>
        <v>-3.6379788070917132E-13</v>
      </c>
      <c r="AJ45" s="27">
        <f t="shared" si="7"/>
        <v>8.1999999999636211E-2</v>
      </c>
      <c r="AK45" s="28">
        <f t="shared" si="8"/>
        <v>48.387096774477463</v>
      </c>
      <c r="AL45" s="21"/>
    </row>
    <row r="46" spans="33:38" x14ac:dyDescent="0.55000000000000004">
      <c r="AG46" s="20"/>
      <c r="AH46" s="26">
        <v>38</v>
      </c>
      <c r="AI46" s="27">
        <f t="shared" si="6"/>
        <v>1.8189894035458566E-13</v>
      </c>
      <c r="AJ46" s="27">
        <f t="shared" si="7"/>
        <v>8.20000000001819E-2</v>
      </c>
      <c r="AK46" s="28">
        <f t="shared" si="8"/>
        <v>48.387096774051592</v>
      </c>
      <c r="AL46" s="21"/>
    </row>
    <row r="47" spans="33:38" x14ac:dyDescent="0.55000000000000004">
      <c r="AG47" s="20"/>
      <c r="AH47" s="26">
        <v>39</v>
      </c>
      <c r="AI47" s="27">
        <f t="shared" si="6"/>
        <v>-9.0949470177292829E-14</v>
      </c>
      <c r="AJ47" s="27">
        <f t="shared" si="7"/>
        <v>8.1999999999909048E-2</v>
      </c>
      <c r="AK47" s="28">
        <f t="shared" si="8"/>
        <v>48.387096774264535</v>
      </c>
      <c r="AL47" s="21"/>
    </row>
    <row r="48" spans="33:38" x14ac:dyDescent="0.55000000000000004">
      <c r="AG48" s="20"/>
      <c r="AH48" s="26">
        <v>40</v>
      </c>
      <c r="AI48" s="27">
        <f t="shared" si="6"/>
        <v>4.5474735088646414E-14</v>
      </c>
      <c r="AJ48" s="27">
        <f t="shared" si="7"/>
        <v>8.2000000000045481E-2</v>
      </c>
      <c r="AK48" s="28">
        <f t="shared" si="8"/>
        <v>48.387096774158053</v>
      </c>
      <c r="AL48" s="21"/>
    </row>
    <row r="49" spans="33:38" x14ac:dyDescent="0.55000000000000004">
      <c r="AG49" s="20"/>
      <c r="AH49" s="26">
        <v>41</v>
      </c>
      <c r="AI49" s="27">
        <f t="shared" si="6"/>
        <v>-2.2737367544323207E-14</v>
      </c>
      <c r="AJ49" s="27">
        <f t="shared" si="7"/>
        <v>8.1999999999977272E-2</v>
      </c>
      <c r="AK49" s="28">
        <f t="shared" si="8"/>
        <v>48.387096774211287</v>
      </c>
      <c r="AL49" s="21"/>
    </row>
    <row r="50" spans="33:38" x14ac:dyDescent="0.55000000000000004">
      <c r="AG50" s="20"/>
      <c r="AH50" s="26">
        <v>42</v>
      </c>
      <c r="AI50" s="27">
        <f t="shared" ref="AI50:AI66" si="9">IF(AH50=0,$I$13,AI49*(1-$I$14)*IF($I$15="Overreaction",-1,1))</f>
        <v>1.1368683772161604E-14</v>
      </c>
      <c r="AJ50" s="27">
        <f t="shared" ref="AJ50:AJ66" si="10">$C$8+AI50</f>
        <v>8.2000000000011369E-2</v>
      </c>
      <c r="AK50" s="28">
        <f t="shared" ref="AK50:AK66" si="11">$E$8/(AJ50-$F$8)</f>
        <v>48.387096774184677</v>
      </c>
      <c r="AL50" s="21"/>
    </row>
    <row r="51" spans="33:38" x14ac:dyDescent="0.55000000000000004">
      <c r="AG51" s="20"/>
      <c r="AH51" s="26">
        <v>43</v>
      </c>
      <c r="AI51" s="27">
        <f t="shared" si="9"/>
        <v>-5.6843418860808018E-15</v>
      </c>
      <c r="AJ51" s="27">
        <f t="shared" si="10"/>
        <v>8.1999999999994314E-2</v>
      </c>
      <c r="AK51" s="28">
        <f t="shared" si="11"/>
        <v>48.387096774197992</v>
      </c>
      <c r="AL51" s="21"/>
    </row>
    <row r="52" spans="33:38" x14ac:dyDescent="0.55000000000000004">
      <c r="AG52" s="20"/>
      <c r="AH52" s="26">
        <v>44</v>
      </c>
      <c r="AI52" s="27">
        <f t="shared" si="9"/>
        <v>2.8421709430404009E-15</v>
      </c>
      <c r="AJ52" s="27">
        <f t="shared" si="10"/>
        <v>8.2000000000002848E-2</v>
      </c>
      <c r="AK52" s="28">
        <f t="shared" si="11"/>
        <v>48.387096774191328</v>
      </c>
      <c r="AL52" s="21"/>
    </row>
    <row r="53" spans="33:38" x14ac:dyDescent="0.55000000000000004">
      <c r="AG53" s="20"/>
      <c r="AH53" s="26">
        <v>45</v>
      </c>
      <c r="AI53" s="27">
        <f t="shared" si="9"/>
        <v>-1.4210854715202005E-15</v>
      </c>
      <c r="AJ53" s="27">
        <f t="shared" si="10"/>
        <v>8.1999999999998588E-2</v>
      </c>
      <c r="AK53" s="28">
        <f t="shared" si="11"/>
        <v>48.387096774194653</v>
      </c>
      <c r="AL53" s="21"/>
    </row>
    <row r="54" spans="33:38" x14ac:dyDescent="0.55000000000000004">
      <c r="AG54" s="20"/>
      <c r="AH54" s="26">
        <v>46</v>
      </c>
      <c r="AI54" s="27">
        <f t="shared" si="9"/>
        <v>7.1054273576010023E-16</v>
      </c>
      <c r="AJ54" s="27">
        <f t="shared" si="10"/>
        <v>8.2000000000000711E-2</v>
      </c>
      <c r="AK54" s="28">
        <f t="shared" si="11"/>
        <v>48.387096774192997</v>
      </c>
      <c r="AL54" s="21"/>
    </row>
    <row r="55" spans="33:38" x14ac:dyDescent="0.55000000000000004">
      <c r="AG55" s="20"/>
      <c r="AH55" s="26">
        <v>47</v>
      </c>
      <c r="AI55" s="27">
        <f t="shared" si="9"/>
        <v>-3.5527136788005011E-16</v>
      </c>
      <c r="AJ55" s="27">
        <f t="shared" si="10"/>
        <v>8.1999999999999643E-2</v>
      </c>
      <c r="AK55" s="28">
        <f t="shared" si="11"/>
        <v>48.387096774193829</v>
      </c>
      <c r="AL55" s="21"/>
    </row>
    <row r="56" spans="33:38" x14ac:dyDescent="0.55000000000000004">
      <c r="AG56" s="20"/>
      <c r="AH56" s="26">
        <v>48</v>
      </c>
      <c r="AI56" s="27">
        <f t="shared" si="9"/>
        <v>1.7763568394002506E-16</v>
      </c>
      <c r="AJ56" s="27">
        <f t="shared" si="10"/>
        <v>8.2000000000000184E-2</v>
      </c>
      <c r="AK56" s="28">
        <f t="shared" si="11"/>
        <v>48.387096774193409</v>
      </c>
      <c r="AL56" s="21"/>
    </row>
    <row r="57" spans="33:38" x14ac:dyDescent="0.55000000000000004">
      <c r="AG57" s="20"/>
      <c r="AH57" s="26">
        <v>49</v>
      </c>
      <c r="AI57" s="27">
        <f t="shared" si="9"/>
        <v>-8.8817841970012528E-17</v>
      </c>
      <c r="AJ57" s="27">
        <f t="shared" si="10"/>
        <v>8.199999999999992E-2</v>
      </c>
      <c r="AK57" s="28">
        <f t="shared" si="11"/>
        <v>48.387096774193616</v>
      </c>
      <c r="AL57" s="21"/>
    </row>
    <row r="58" spans="33:38" x14ac:dyDescent="0.55000000000000004">
      <c r="AG58" s="20"/>
      <c r="AH58" s="26">
        <v>50</v>
      </c>
      <c r="AI58" s="27">
        <f t="shared" si="9"/>
        <v>4.4408920985006264E-17</v>
      </c>
      <c r="AJ58" s="27">
        <f t="shared" si="10"/>
        <v>8.2000000000000045E-2</v>
      </c>
      <c r="AK58" s="28">
        <f t="shared" si="11"/>
        <v>48.387096774193516</v>
      </c>
      <c r="AL58" s="21"/>
    </row>
    <row r="59" spans="33:38" x14ac:dyDescent="0.55000000000000004">
      <c r="AG59" s="20"/>
      <c r="AH59" s="26">
        <v>51</v>
      </c>
      <c r="AI59" s="27">
        <f t="shared" si="9"/>
        <v>-2.2204460492503132E-17</v>
      </c>
      <c r="AJ59" s="27">
        <f t="shared" si="10"/>
        <v>8.1999999999999976E-2</v>
      </c>
      <c r="AK59" s="28">
        <f t="shared" si="11"/>
        <v>48.387096774193573</v>
      </c>
      <c r="AL59" s="21"/>
    </row>
    <row r="60" spans="33:38" x14ac:dyDescent="0.55000000000000004">
      <c r="AG60" s="20"/>
      <c r="AH60" s="26">
        <v>52</v>
      </c>
      <c r="AI60" s="27">
        <f t="shared" si="9"/>
        <v>1.1102230246251566E-17</v>
      </c>
      <c r="AJ60" s="27">
        <f t="shared" si="10"/>
        <v>8.2000000000000017E-2</v>
      </c>
      <c r="AK60" s="28">
        <f t="shared" si="11"/>
        <v>48.387096774193537</v>
      </c>
      <c r="AL60" s="21"/>
    </row>
    <row r="61" spans="33:38" x14ac:dyDescent="0.55000000000000004">
      <c r="AG61" s="20"/>
      <c r="AH61" s="26">
        <v>53</v>
      </c>
      <c r="AI61" s="27">
        <f t="shared" si="9"/>
        <v>-5.551115123125783E-18</v>
      </c>
      <c r="AJ61" s="27">
        <f t="shared" si="10"/>
        <v>8.2000000000000003E-2</v>
      </c>
      <c r="AK61" s="28">
        <f t="shared" si="11"/>
        <v>48.387096774193552</v>
      </c>
      <c r="AL61" s="21"/>
    </row>
    <row r="62" spans="33:38" x14ac:dyDescent="0.55000000000000004">
      <c r="AG62" s="20"/>
      <c r="AH62" s="26">
        <v>54</v>
      </c>
      <c r="AI62" s="27">
        <f t="shared" si="9"/>
        <v>2.7755575615628915E-18</v>
      </c>
      <c r="AJ62" s="27">
        <f t="shared" si="10"/>
        <v>8.2000000000000003E-2</v>
      </c>
      <c r="AK62" s="28">
        <f t="shared" si="11"/>
        <v>48.387096774193552</v>
      </c>
      <c r="AL62" s="21"/>
    </row>
    <row r="63" spans="33:38" x14ac:dyDescent="0.55000000000000004">
      <c r="AG63" s="20"/>
      <c r="AH63" s="26">
        <v>55</v>
      </c>
      <c r="AI63" s="27">
        <f t="shared" si="9"/>
        <v>-1.3877787807814458E-18</v>
      </c>
      <c r="AJ63" s="27">
        <f t="shared" si="10"/>
        <v>8.2000000000000003E-2</v>
      </c>
      <c r="AK63" s="28">
        <f t="shared" si="11"/>
        <v>48.387096774193552</v>
      </c>
      <c r="AL63" s="21"/>
    </row>
    <row r="64" spans="33:38" x14ac:dyDescent="0.55000000000000004">
      <c r="AG64" s="20"/>
      <c r="AH64" s="26">
        <v>56</v>
      </c>
      <c r="AI64" s="27">
        <f t="shared" si="9"/>
        <v>6.9388939039072288E-19</v>
      </c>
      <c r="AJ64" s="27">
        <f t="shared" si="10"/>
        <v>8.2000000000000003E-2</v>
      </c>
      <c r="AK64" s="28">
        <f t="shared" si="11"/>
        <v>48.387096774193552</v>
      </c>
      <c r="AL64" s="21"/>
    </row>
    <row r="65" spans="33:38" x14ac:dyDescent="0.55000000000000004">
      <c r="AG65" s="20"/>
      <c r="AH65" s="26">
        <v>57</v>
      </c>
      <c r="AI65" s="27">
        <f t="shared" si="9"/>
        <v>-3.4694469519536144E-19</v>
      </c>
      <c r="AJ65" s="27">
        <f t="shared" si="10"/>
        <v>8.2000000000000003E-2</v>
      </c>
      <c r="AK65" s="28">
        <f t="shared" si="11"/>
        <v>48.387096774193552</v>
      </c>
      <c r="AL65" s="21"/>
    </row>
    <row r="66" spans="33:38" x14ac:dyDescent="0.55000000000000004">
      <c r="AG66" s="20"/>
      <c r="AH66" s="26">
        <v>58</v>
      </c>
      <c r="AI66" s="27">
        <f t="shared" si="9"/>
        <v>1.7347234759768072E-19</v>
      </c>
      <c r="AJ66" s="27">
        <f t="shared" si="10"/>
        <v>8.2000000000000003E-2</v>
      </c>
      <c r="AK66" s="28">
        <f t="shared" si="11"/>
        <v>48.387096774193552</v>
      </c>
      <c r="AL66" s="21"/>
    </row>
    <row r="67" spans="33:38" x14ac:dyDescent="0.55000000000000004">
      <c r="AG67" s="20"/>
      <c r="AH67" s="26">
        <v>59</v>
      </c>
      <c r="AI67" s="27">
        <f t="shared" ref="AI67:AI80" si="12">IF(AH67=0,$I$13,AI66*(1-$I$14)*IF($I$15="Overreaction",-1,1))</f>
        <v>-8.673617379884036E-20</v>
      </c>
      <c r="AJ67" s="27">
        <f t="shared" ref="AJ67:AJ80" si="13">$C$8+AI67</f>
        <v>8.2000000000000003E-2</v>
      </c>
      <c r="AK67" s="28">
        <f t="shared" ref="AK67:AK80" si="14">$E$8/(AJ67-$F$8)</f>
        <v>48.387096774193552</v>
      </c>
      <c r="AL67" s="21"/>
    </row>
    <row r="68" spans="33:38" x14ac:dyDescent="0.55000000000000004">
      <c r="AG68" s="20"/>
      <c r="AH68" s="26">
        <v>60</v>
      </c>
      <c r="AI68" s="27">
        <f t="shared" si="12"/>
        <v>4.336808689942018E-20</v>
      </c>
      <c r="AJ68" s="27">
        <f t="shared" si="13"/>
        <v>8.2000000000000003E-2</v>
      </c>
      <c r="AK68" s="28">
        <f t="shared" si="14"/>
        <v>48.387096774193552</v>
      </c>
      <c r="AL68" s="21"/>
    </row>
    <row r="69" spans="33:38" x14ac:dyDescent="0.55000000000000004">
      <c r="AG69" s="20"/>
      <c r="AH69" s="26">
        <v>61</v>
      </c>
      <c r="AI69" s="27">
        <f t="shared" si="12"/>
        <v>-2.168404344971009E-20</v>
      </c>
      <c r="AJ69" s="27">
        <f t="shared" si="13"/>
        <v>8.2000000000000003E-2</v>
      </c>
      <c r="AK69" s="28">
        <f t="shared" si="14"/>
        <v>48.387096774193552</v>
      </c>
      <c r="AL69" s="21"/>
    </row>
    <row r="70" spans="33:38" x14ac:dyDescent="0.55000000000000004">
      <c r="AG70" s="20"/>
      <c r="AH70" s="26">
        <v>62</v>
      </c>
      <c r="AI70" s="27">
        <f t="shared" si="12"/>
        <v>1.0842021724855045E-20</v>
      </c>
      <c r="AJ70" s="27">
        <f t="shared" si="13"/>
        <v>8.2000000000000003E-2</v>
      </c>
      <c r="AK70" s="28">
        <f t="shared" si="14"/>
        <v>48.387096774193552</v>
      </c>
      <c r="AL70" s="21"/>
    </row>
    <row r="71" spans="33:38" x14ac:dyDescent="0.55000000000000004">
      <c r="AG71" s="20"/>
      <c r="AH71" s="26">
        <v>63</v>
      </c>
      <c r="AI71" s="27">
        <f t="shared" si="12"/>
        <v>-5.4210108624275225E-21</v>
      </c>
      <c r="AJ71" s="27">
        <f t="shared" si="13"/>
        <v>8.2000000000000003E-2</v>
      </c>
      <c r="AK71" s="28">
        <f t="shared" si="14"/>
        <v>48.387096774193552</v>
      </c>
      <c r="AL71" s="21"/>
    </row>
    <row r="72" spans="33:38" x14ac:dyDescent="0.55000000000000004">
      <c r="AG72" s="20"/>
      <c r="AH72" s="26">
        <v>64</v>
      </c>
      <c r="AI72" s="27">
        <f t="shared" si="12"/>
        <v>2.7105054312137612E-21</v>
      </c>
      <c r="AJ72" s="27">
        <f t="shared" si="13"/>
        <v>8.2000000000000003E-2</v>
      </c>
      <c r="AK72" s="28">
        <f t="shared" si="14"/>
        <v>48.387096774193552</v>
      </c>
      <c r="AL72" s="21"/>
    </row>
    <row r="73" spans="33:38" x14ac:dyDescent="0.55000000000000004">
      <c r="AG73" s="20"/>
      <c r="AH73" s="26">
        <v>65</v>
      </c>
      <c r="AI73" s="27">
        <f t="shared" si="12"/>
        <v>-1.3552527156068806E-21</v>
      </c>
      <c r="AJ73" s="27">
        <f t="shared" si="13"/>
        <v>8.2000000000000003E-2</v>
      </c>
      <c r="AK73" s="28">
        <f t="shared" si="14"/>
        <v>48.387096774193552</v>
      </c>
      <c r="AL73" s="21"/>
    </row>
    <row r="74" spans="33:38" x14ac:dyDescent="0.55000000000000004">
      <c r="AG74" s="20"/>
      <c r="AH74" s="26">
        <v>66</v>
      </c>
      <c r="AI74" s="27">
        <f t="shared" si="12"/>
        <v>6.7762635780344031E-22</v>
      </c>
      <c r="AJ74" s="27">
        <f t="shared" si="13"/>
        <v>8.2000000000000003E-2</v>
      </c>
      <c r="AK74" s="28">
        <f t="shared" si="14"/>
        <v>48.387096774193552</v>
      </c>
      <c r="AL74" s="21"/>
    </row>
    <row r="75" spans="33:38" x14ac:dyDescent="0.55000000000000004">
      <c r="AG75" s="20"/>
      <c r="AH75" s="26">
        <v>67</v>
      </c>
      <c r="AI75" s="27">
        <f t="shared" si="12"/>
        <v>-3.3881317890172015E-22</v>
      </c>
      <c r="AJ75" s="27">
        <f t="shared" si="13"/>
        <v>8.2000000000000003E-2</v>
      </c>
      <c r="AK75" s="28">
        <f t="shared" si="14"/>
        <v>48.387096774193552</v>
      </c>
      <c r="AL75" s="21"/>
    </row>
    <row r="76" spans="33:38" x14ac:dyDescent="0.55000000000000004">
      <c r="AG76" s="20"/>
      <c r="AH76" s="26">
        <v>68</v>
      </c>
      <c r="AI76" s="27">
        <f t="shared" si="12"/>
        <v>1.6940658945086008E-22</v>
      </c>
      <c r="AJ76" s="27">
        <f t="shared" si="13"/>
        <v>8.2000000000000003E-2</v>
      </c>
      <c r="AK76" s="28">
        <f t="shared" si="14"/>
        <v>48.387096774193552</v>
      </c>
      <c r="AL76" s="21"/>
    </row>
    <row r="77" spans="33:38" x14ac:dyDescent="0.55000000000000004">
      <c r="AG77" s="20"/>
      <c r="AH77" s="26">
        <v>69</v>
      </c>
      <c r="AI77" s="27">
        <f t="shared" si="12"/>
        <v>-8.4703294725430039E-23</v>
      </c>
      <c r="AJ77" s="27">
        <f t="shared" si="13"/>
        <v>8.2000000000000003E-2</v>
      </c>
      <c r="AK77" s="28">
        <f t="shared" si="14"/>
        <v>48.387096774193552</v>
      </c>
      <c r="AL77" s="21"/>
    </row>
    <row r="78" spans="33:38" x14ac:dyDescent="0.55000000000000004">
      <c r="AG78" s="20"/>
      <c r="AH78" s="26">
        <v>70</v>
      </c>
      <c r="AI78" s="27">
        <f t="shared" si="12"/>
        <v>4.2351647362715019E-23</v>
      </c>
      <c r="AJ78" s="27">
        <f t="shared" si="13"/>
        <v>8.2000000000000003E-2</v>
      </c>
      <c r="AK78" s="28">
        <f t="shared" si="14"/>
        <v>48.387096774193552</v>
      </c>
      <c r="AL78" s="21"/>
    </row>
    <row r="79" spans="33:38" x14ac:dyDescent="0.55000000000000004">
      <c r="AG79" s="20"/>
      <c r="AH79" s="26">
        <v>71</v>
      </c>
      <c r="AI79" s="27">
        <f t="shared" si="12"/>
        <v>-2.117582368135751E-23</v>
      </c>
      <c r="AJ79" s="27">
        <f t="shared" si="13"/>
        <v>8.2000000000000003E-2</v>
      </c>
      <c r="AK79" s="28">
        <f t="shared" si="14"/>
        <v>48.387096774193552</v>
      </c>
      <c r="AL79" s="21"/>
    </row>
    <row r="80" spans="33:38" x14ac:dyDescent="0.55000000000000004">
      <c r="AG80" s="20"/>
      <c r="AH80" s="26">
        <v>72</v>
      </c>
      <c r="AI80" s="27">
        <f t="shared" si="12"/>
        <v>1.0587911840678755E-23</v>
      </c>
      <c r="AJ80" s="27">
        <f t="shared" si="13"/>
        <v>8.2000000000000003E-2</v>
      </c>
      <c r="AK80" s="28">
        <f t="shared" si="14"/>
        <v>48.387096774193552</v>
      </c>
      <c r="AL80" s="21"/>
    </row>
    <row r="81" spans="33:38" x14ac:dyDescent="0.55000000000000004">
      <c r="AG81" s="20"/>
      <c r="AH81" s="26">
        <v>73</v>
      </c>
      <c r="AI81" s="27">
        <f t="shared" ref="AI81:AI107" si="15">IF(AH81=0,$I$13,AI80*(1-$I$14)*IF($I$15="Overreaction",-1,1))</f>
        <v>-5.2939559203393774E-24</v>
      </c>
      <c r="AJ81" s="27">
        <f t="shared" ref="AJ81:AJ107" si="16">$C$8+AI81</f>
        <v>8.2000000000000003E-2</v>
      </c>
      <c r="AK81" s="28">
        <f t="shared" ref="AK81:AK107" si="17">$E$8/(AJ81-$F$8)</f>
        <v>48.387096774193552</v>
      </c>
      <c r="AL81" s="21"/>
    </row>
    <row r="82" spans="33:38" x14ac:dyDescent="0.55000000000000004">
      <c r="AG82" s="20"/>
      <c r="AH82" s="26">
        <v>74</v>
      </c>
      <c r="AI82" s="27">
        <f t="shared" si="15"/>
        <v>2.6469779601696887E-24</v>
      </c>
      <c r="AJ82" s="27">
        <f t="shared" si="16"/>
        <v>8.2000000000000003E-2</v>
      </c>
      <c r="AK82" s="28">
        <f t="shared" si="17"/>
        <v>48.387096774193552</v>
      </c>
      <c r="AL82" s="21"/>
    </row>
    <row r="83" spans="33:38" x14ac:dyDescent="0.55000000000000004">
      <c r="AG83" s="20"/>
      <c r="AH83" s="26">
        <v>75</v>
      </c>
      <c r="AI83" s="27">
        <f t="shared" si="15"/>
        <v>-1.3234889800848444E-24</v>
      </c>
      <c r="AJ83" s="27">
        <f t="shared" si="16"/>
        <v>8.2000000000000003E-2</v>
      </c>
      <c r="AK83" s="28">
        <f t="shared" si="17"/>
        <v>48.387096774193552</v>
      </c>
      <c r="AL83" s="21"/>
    </row>
    <row r="84" spans="33:38" x14ac:dyDescent="0.55000000000000004">
      <c r="AG84" s="20"/>
      <c r="AH84" s="26">
        <v>76</v>
      </c>
      <c r="AI84" s="27">
        <f t="shared" si="15"/>
        <v>6.6174449004242218E-25</v>
      </c>
      <c r="AJ84" s="27">
        <f t="shared" si="16"/>
        <v>8.2000000000000003E-2</v>
      </c>
      <c r="AK84" s="28">
        <f t="shared" si="17"/>
        <v>48.387096774193552</v>
      </c>
      <c r="AL84" s="21"/>
    </row>
    <row r="85" spans="33:38" x14ac:dyDescent="0.55000000000000004">
      <c r="AG85" s="20"/>
      <c r="AH85" s="26">
        <v>77</v>
      </c>
      <c r="AI85" s="27">
        <f t="shared" si="15"/>
        <v>-3.3087224502121109E-25</v>
      </c>
      <c r="AJ85" s="27">
        <f t="shared" si="16"/>
        <v>8.2000000000000003E-2</v>
      </c>
      <c r="AK85" s="28">
        <f t="shared" si="17"/>
        <v>48.387096774193552</v>
      </c>
      <c r="AL85" s="21"/>
    </row>
    <row r="86" spans="33:38" x14ac:dyDescent="0.55000000000000004">
      <c r="AG86" s="20"/>
      <c r="AH86" s="26">
        <v>78</v>
      </c>
      <c r="AI86" s="27">
        <f t="shared" si="15"/>
        <v>1.6543612251060554E-25</v>
      </c>
      <c r="AJ86" s="27">
        <f t="shared" si="16"/>
        <v>8.2000000000000003E-2</v>
      </c>
      <c r="AK86" s="28">
        <f t="shared" si="17"/>
        <v>48.387096774193552</v>
      </c>
      <c r="AL86" s="21"/>
    </row>
    <row r="87" spans="33:38" x14ac:dyDescent="0.55000000000000004">
      <c r="AG87" s="20"/>
      <c r="AH87" s="26">
        <v>79</v>
      </c>
      <c r="AI87" s="27">
        <f t="shared" si="15"/>
        <v>-8.2718061255302772E-26</v>
      </c>
      <c r="AJ87" s="27">
        <f t="shared" si="16"/>
        <v>8.2000000000000003E-2</v>
      </c>
      <c r="AK87" s="28">
        <f t="shared" si="17"/>
        <v>48.387096774193552</v>
      </c>
      <c r="AL87" s="21"/>
    </row>
    <row r="88" spans="33:38" x14ac:dyDescent="0.55000000000000004">
      <c r="AG88" s="20"/>
      <c r="AH88" s="26">
        <v>80</v>
      </c>
      <c r="AI88" s="27">
        <f t="shared" si="15"/>
        <v>4.1359030627651386E-26</v>
      </c>
      <c r="AJ88" s="27">
        <f t="shared" si="16"/>
        <v>8.2000000000000003E-2</v>
      </c>
      <c r="AK88" s="28">
        <f t="shared" si="17"/>
        <v>48.387096774193552</v>
      </c>
      <c r="AL88" s="21"/>
    </row>
    <row r="89" spans="33:38" x14ac:dyDescent="0.55000000000000004">
      <c r="AG89" s="20"/>
      <c r="AH89" s="26">
        <v>81</v>
      </c>
      <c r="AI89" s="27">
        <f t="shared" si="15"/>
        <v>-2.0679515313825693E-26</v>
      </c>
      <c r="AJ89" s="27">
        <f t="shared" si="16"/>
        <v>8.2000000000000003E-2</v>
      </c>
      <c r="AK89" s="28">
        <f t="shared" si="17"/>
        <v>48.387096774193552</v>
      </c>
      <c r="AL89" s="21"/>
    </row>
    <row r="90" spans="33:38" x14ac:dyDescent="0.55000000000000004">
      <c r="AG90" s="20"/>
      <c r="AH90" s="26">
        <v>82</v>
      </c>
      <c r="AI90" s="27">
        <f t="shared" si="15"/>
        <v>1.0339757656912847E-26</v>
      </c>
      <c r="AJ90" s="27">
        <f t="shared" si="16"/>
        <v>8.2000000000000003E-2</v>
      </c>
      <c r="AK90" s="28">
        <f t="shared" si="17"/>
        <v>48.387096774193552</v>
      </c>
      <c r="AL90" s="21"/>
    </row>
    <row r="91" spans="33:38" x14ac:dyDescent="0.55000000000000004">
      <c r="AG91" s="20"/>
      <c r="AH91" s="26">
        <v>83</v>
      </c>
      <c r="AI91" s="27">
        <f t="shared" si="15"/>
        <v>-5.1698788284564233E-27</v>
      </c>
      <c r="AJ91" s="27">
        <f t="shared" si="16"/>
        <v>8.2000000000000003E-2</v>
      </c>
      <c r="AK91" s="28">
        <f t="shared" si="17"/>
        <v>48.387096774193552</v>
      </c>
      <c r="AL91" s="21"/>
    </row>
    <row r="92" spans="33:38" x14ac:dyDescent="0.55000000000000004">
      <c r="AG92" s="20"/>
      <c r="AH92" s="26">
        <v>84</v>
      </c>
      <c r="AI92" s="27">
        <f t="shared" si="15"/>
        <v>2.5849394142282116E-27</v>
      </c>
      <c r="AJ92" s="27">
        <f t="shared" si="16"/>
        <v>8.2000000000000003E-2</v>
      </c>
      <c r="AK92" s="28">
        <f t="shared" si="17"/>
        <v>48.387096774193552</v>
      </c>
      <c r="AL92" s="21"/>
    </row>
    <row r="93" spans="33:38" x14ac:dyDescent="0.55000000000000004">
      <c r="AG93" s="20"/>
      <c r="AH93" s="26">
        <v>85</v>
      </c>
      <c r="AI93" s="27">
        <f t="shared" si="15"/>
        <v>-1.2924697071141058E-27</v>
      </c>
      <c r="AJ93" s="27">
        <f t="shared" si="16"/>
        <v>8.2000000000000003E-2</v>
      </c>
      <c r="AK93" s="28">
        <f t="shared" si="17"/>
        <v>48.387096774193552</v>
      </c>
      <c r="AL93" s="21"/>
    </row>
    <row r="94" spans="33:38" x14ac:dyDescent="0.55000000000000004">
      <c r="AG94" s="20"/>
      <c r="AH94" s="26">
        <v>86</v>
      </c>
      <c r="AI94" s="27">
        <f t="shared" si="15"/>
        <v>6.4623485355705291E-28</v>
      </c>
      <c r="AJ94" s="27">
        <f t="shared" si="16"/>
        <v>8.2000000000000003E-2</v>
      </c>
      <c r="AK94" s="28">
        <f t="shared" si="17"/>
        <v>48.387096774193552</v>
      </c>
      <c r="AL94" s="21"/>
    </row>
    <row r="95" spans="33:38" x14ac:dyDescent="0.55000000000000004">
      <c r="AG95" s="20"/>
      <c r="AH95" s="26">
        <v>87</v>
      </c>
      <c r="AI95" s="27">
        <f t="shared" si="15"/>
        <v>-3.2311742677852645E-28</v>
      </c>
      <c r="AJ95" s="27">
        <f t="shared" si="16"/>
        <v>8.2000000000000003E-2</v>
      </c>
      <c r="AK95" s="28">
        <f t="shared" si="17"/>
        <v>48.387096774193552</v>
      </c>
      <c r="AL95" s="21"/>
    </row>
    <row r="96" spans="33:38" x14ac:dyDescent="0.55000000000000004">
      <c r="AG96" s="20"/>
      <c r="AH96" s="26">
        <v>88</v>
      </c>
      <c r="AI96" s="27">
        <f t="shared" si="15"/>
        <v>1.6155871338926323E-28</v>
      </c>
      <c r="AJ96" s="27">
        <f t="shared" si="16"/>
        <v>8.2000000000000003E-2</v>
      </c>
      <c r="AK96" s="28">
        <f t="shared" si="17"/>
        <v>48.387096774193552</v>
      </c>
      <c r="AL96" s="21"/>
    </row>
    <row r="97" spans="33:38" x14ac:dyDescent="0.55000000000000004">
      <c r="AG97" s="20"/>
      <c r="AH97" s="26">
        <v>89</v>
      </c>
      <c r="AI97" s="27">
        <f t="shared" si="15"/>
        <v>-8.0779356694631613E-29</v>
      </c>
      <c r="AJ97" s="27">
        <f t="shared" si="16"/>
        <v>8.2000000000000003E-2</v>
      </c>
      <c r="AK97" s="28">
        <f t="shared" si="17"/>
        <v>48.387096774193552</v>
      </c>
      <c r="AL97" s="21"/>
    </row>
    <row r="98" spans="33:38" x14ac:dyDescent="0.55000000000000004">
      <c r="AG98" s="20"/>
      <c r="AH98" s="26">
        <v>90</v>
      </c>
      <c r="AI98" s="27">
        <f t="shared" si="15"/>
        <v>4.0389678347315807E-29</v>
      </c>
      <c r="AJ98" s="27">
        <f t="shared" si="16"/>
        <v>8.2000000000000003E-2</v>
      </c>
      <c r="AK98" s="28">
        <f t="shared" si="17"/>
        <v>48.387096774193552</v>
      </c>
      <c r="AL98" s="21"/>
    </row>
    <row r="99" spans="33:38" x14ac:dyDescent="0.55000000000000004">
      <c r="AG99" s="20"/>
      <c r="AH99" s="26">
        <v>91</v>
      </c>
      <c r="AI99" s="27">
        <f t="shared" si="15"/>
        <v>-2.0194839173657903E-29</v>
      </c>
      <c r="AJ99" s="27">
        <f t="shared" si="16"/>
        <v>8.2000000000000003E-2</v>
      </c>
      <c r="AK99" s="28">
        <f t="shared" si="17"/>
        <v>48.387096774193552</v>
      </c>
      <c r="AL99" s="21"/>
    </row>
    <row r="100" spans="33:38" x14ac:dyDescent="0.55000000000000004">
      <c r="AG100" s="20"/>
      <c r="AH100" s="26">
        <v>92</v>
      </c>
      <c r="AI100" s="27">
        <f t="shared" si="15"/>
        <v>1.0097419586828952E-29</v>
      </c>
      <c r="AJ100" s="27">
        <f t="shared" si="16"/>
        <v>8.2000000000000003E-2</v>
      </c>
      <c r="AK100" s="28">
        <f t="shared" si="17"/>
        <v>48.387096774193552</v>
      </c>
      <c r="AL100" s="21"/>
    </row>
    <row r="101" spans="33:38" x14ac:dyDescent="0.55000000000000004">
      <c r="AG101" s="20"/>
      <c r="AH101" s="26">
        <v>93</v>
      </c>
      <c r="AI101" s="27">
        <f t="shared" si="15"/>
        <v>-5.0487097934144758E-30</v>
      </c>
      <c r="AJ101" s="27">
        <f t="shared" si="16"/>
        <v>8.2000000000000003E-2</v>
      </c>
      <c r="AK101" s="28">
        <f t="shared" si="17"/>
        <v>48.387096774193552</v>
      </c>
      <c r="AL101" s="21"/>
    </row>
    <row r="102" spans="33:38" x14ac:dyDescent="0.55000000000000004">
      <c r="AG102" s="20"/>
      <c r="AH102" s="26">
        <v>94</v>
      </c>
      <c r="AI102" s="27">
        <f t="shared" si="15"/>
        <v>2.5243548967072379E-30</v>
      </c>
      <c r="AJ102" s="27">
        <f t="shared" si="16"/>
        <v>8.2000000000000003E-2</v>
      </c>
      <c r="AK102" s="28">
        <f t="shared" si="17"/>
        <v>48.387096774193552</v>
      </c>
      <c r="AL102" s="21"/>
    </row>
    <row r="103" spans="33:38" x14ac:dyDescent="0.55000000000000004">
      <c r="AG103" s="20"/>
      <c r="AH103" s="26">
        <v>95</v>
      </c>
      <c r="AI103" s="27">
        <f t="shared" si="15"/>
        <v>-1.262177448353619E-30</v>
      </c>
      <c r="AJ103" s="27">
        <f t="shared" si="16"/>
        <v>8.2000000000000003E-2</v>
      </c>
      <c r="AK103" s="28">
        <f t="shared" si="17"/>
        <v>48.387096774193552</v>
      </c>
      <c r="AL103" s="21"/>
    </row>
    <row r="104" spans="33:38" x14ac:dyDescent="0.55000000000000004">
      <c r="AG104" s="20"/>
      <c r="AH104" s="26">
        <v>96</v>
      </c>
      <c r="AI104" s="27">
        <f t="shared" si="15"/>
        <v>6.3108872417680948E-31</v>
      </c>
      <c r="AJ104" s="27">
        <f t="shared" si="16"/>
        <v>8.2000000000000003E-2</v>
      </c>
      <c r="AK104" s="28">
        <f t="shared" si="17"/>
        <v>48.387096774193552</v>
      </c>
      <c r="AL104" s="21"/>
    </row>
    <row r="105" spans="33:38" x14ac:dyDescent="0.55000000000000004">
      <c r="AG105" s="20"/>
      <c r="AH105" s="26">
        <v>97</v>
      </c>
      <c r="AI105" s="27">
        <f t="shared" si="15"/>
        <v>-3.1554436208840474E-31</v>
      </c>
      <c r="AJ105" s="27">
        <f t="shared" si="16"/>
        <v>8.2000000000000003E-2</v>
      </c>
      <c r="AK105" s="28">
        <f t="shared" si="17"/>
        <v>48.387096774193552</v>
      </c>
      <c r="AL105" s="21"/>
    </row>
    <row r="106" spans="33:38" x14ac:dyDescent="0.55000000000000004">
      <c r="AG106" s="20"/>
      <c r="AH106" s="26">
        <v>98</v>
      </c>
      <c r="AI106" s="27">
        <f t="shared" si="15"/>
        <v>1.5777218104420237E-31</v>
      </c>
      <c r="AJ106" s="27">
        <f t="shared" si="16"/>
        <v>8.2000000000000003E-2</v>
      </c>
      <c r="AK106" s="28">
        <f t="shared" si="17"/>
        <v>48.387096774193552</v>
      </c>
      <c r="AL106" s="21"/>
    </row>
    <row r="107" spans="33:38" x14ac:dyDescent="0.55000000000000004">
      <c r="AG107" s="20"/>
      <c r="AH107" s="26">
        <v>99</v>
      </c>
      <c r="AI107" s="27">
        <f t="shared" si="15"/>
        <v>-7.8886090522101185E-32</v>
      </c>
      <c r="AJ107" s="27">
        <f t="shared" si="16"/>
        <v>8.2000000000000003E-2</v>
      </c>
      <c r="AK107" s="28">
        <f t="shared" si="17"/>
        <v>48.387096774193552</v>
      </c>
      <c r="AL107" s="21"/>
    </row>
    <row r="108" spans="33:38" x14ac:dyDescent="0.55000000000000004">
      <c r="AG108" s="20"/>
      <c r="AH108" s="26">
        <v>100</v>
      </c>
      <c r="AI108" s="27">
        <f t="shared" ref="AI108:AI140" si="18">IF(AH108=0,$I$13,AI107*(1-$I$14)*IF($I$15="Overreaction",-1,1))</f>
        <v>3.9443045261050592E-32</v>
      </c>
      <c r="AJ108" s="27">
        <f t="shared" ref="AJ108:AJ140" si="19">$C$8+AI108</f>
        <v>8.2000000000000003E-2</v>
      </c>
      <c r="AK108" s="28">
        <f t="shared" ref="AK108:AK140" si="20">$E$8/(AJ108-$F$8)</f>
        <v>48.387096774193552</v>
      </c>
      <c r="AL108" s="21"/>
    </row>
    <row r="109" spans="33:38" x14ac:dyDescent="0.55000000000000004">
      <c r="AG109" s="20"/>
      <c r="AH109" s="26">
        <v>101</v>
      </c>
      <c r="AI109" s="27">
        <f t="shared" si="18"/>
        <v>-1.9721522630525296E-32</v>
      </c>
      <c r="AJ109" s="27">
        <f t="shared" si="19"/>
        <v>8.2000000000000003E-2</v>
      </c>
      <c r="AK109" s="28">
        <f t="shared" si="20"/>
        <v>48.387096774193552</v>
      </c>
      <c r="AL109" s="21"/>
    </row>
    <row r="110" spans="33:38" x14ac:dyDescent="0.55000000000000004">
      <c r="AG110" s="20"/>
      <c r="AH110" s="26">
        <v>102</v>
      </c>
      <c r="AI110" s="27">
        <f t="shared" si="18"/>
        <v>9.8607613152626481E-33</v>
      </c>
      <c r="AJ110" s="27">
        <f t="shared" si="19"/>
        <v>8.2000000000000003E-2</v>
      </c>
      <c r="AK110" s="28">
        <f t="shared" si="20"/>
        <v>48.387096774193552</v>
      </c>
      <c r="AL110" s="21"/>
    </row>
    <row r="111" spans="33:38" x14ac:dyDescent="0.55000000000000004">
      <c r="AG111" s="20"/>
      <c r="AH111" s="26">
        <v>103</v>
      </c>
      <c r="AI111" s="27">
        <f t="shared" si="18"/>
        <v>-4.9303806576313241E-33</v>
      </c>
      <c r="AJ111" s="27">
        <f t="shared" si="19"/>
        <v>8.2000000000000003E-2</v>
      </c>
      <c r="AK111" s="28">
        <f t="shared" si="20"/>
        <v>48.387096774193552</v>
      </c>
      <c r="AL111" s="21"/>
    </row>
    <row r="112" spans="33:38" x14ac:dyDescent="0.55000000000000004">
      <c r="AG112" s="20"/>
      <c r="AH112" s="26">
        <v>104</v>
      </c>
      <c r="AI112" s="27">
        <f t="shared" si="18"/>
        <v>2.465190328815662E-33</v>
      </c>
      <c r="AJ112" s="27">
        <f t="shared" si="19"/>
        <v>8.2000000000000003E-2</v>
      </c>
      <c r="AK112" s="28">
        <f t="shared" si="20"/>
        <v>48.387096774193552</v>
      </c>
      <c r="AL112" s="21"/>
    </row>
    <row r="113" spans="33:38" x14ac:dyDescent="0.55000000000000004">
      <c r="AG113" s="20"/>
      <c r="AH113" s="26">
        <v>105</v>
      </c>
      <c r="AI113" s="27">
        <f t="shared" si="18"/>
        <v>-1.232595164407831E-33</v>
      </c>
      <c r="AJ113" s="27">
        <f t="shared" si="19"/>
        <v>8.2000000000000003E-2</v>
      </c>
      <c r="AK113" s="28">
        <f t="shared" si="20"/>
        <v>48.387096774193552</v>
      </c>
      <c r="AL113" s="21"/>
    </row>
    <row r="114" spans="33:38" x14ac:dyDescent="0.55000000000000004">
      <c r="AG114" s="20"/>
      <c r="AH114" s="26">
        <v>106</v>
      </c>
      <c r="AI114" s="27">
        <f t="shared" si="18"/>
        <v>6.1629758220391551E-34</v>
      </c>
      <c r="AJ114" s="27">
        <f t="shared" si="19"/>
        <v>8.2000000000000003E-2</v>
      </c>
      <c r="AK114" s="28">
        <f t="shared" si="20"/>
        <v>48.387096774193552</v>
      </c>
      <c r="AL114" s="21"/>
    </row>
    <row r="115" spans="33:38" x14ac:dyDescent="0.55000000000000004">
      <c r="AG115" s="20"/>
      <c r="AH115" s="26">
        <v>107</v>
      </c>
      <c r="AI115" s="27">
        <f t="shared" si="18"/>
        <v>-3.0814879110195775E-34</v>
      </c>
      <c r="AJ115" s="27">
        <f t="shared" si="19"/>
        <v>8.2000000000000003E-2</v>
      </c>
      <c r="AK115" s="28">
        <f t="shared" si="20"/>
        <v>48.387096774193552</v>
      </c>
      <c r="AL115" s="21"/>
    </row>
    <row r="116" spans="33:38" x14ac:dyDescent="0.55000000000000004">
      <c r="AG116" s="20"/>
      <c r="AH116" s="26">
        <v>108</v>
      </c>
      <c r="AI116" s="27">
        <f t="shared" si="18"/>
        <v>1.5407439555097888E-34</v>
      </c>
      <c r="AJ116" s="27">
        <f t="shared" si="19"/>
        <v>8.2000000000000003E-2</v>
      </c>
      <c r="AK116" s="28">
        <f t="shared" si="20"/>
        <v>48.387096774193552</v>
      </c>
      <c r="AL116" s="21"/>
    </row>
    <row r="117" spans="33:38" x14ac:dyDescent="0.55000000000000004">
      <c r="AG117" s="20"/>
      <c r="AH117" s="26">
        <v>109</v>
      </c>
      <c r="AI117" s="27">
        <f t="shared" si="18"/>
        <v>-7.7037197775489438E-35</v>
      </c>
      <c r="AJ117" s="27">
        <f t="shared" si="19"/>
        <v>8.2000000000000003E-2</v>
      </c>
      <c r="AK117" s="28">
        <f t="shared" si="20"/>
        <v>48.387096774193552</v>
      </c>
      <c r="AL117" s="21"/>
    </row>
    <row r="118" spans="33:38" x14ac:dyDescent="0.55000000000000004">
      <c r="AG118" s="20"/>
      <c r="AH118" s="26">
        <v>110</v>
      </c>
      <c r="AI118" s="27">
        <f t="shared" si="18"/>
        <v>3.8518598887744719E-35</v>
      </c>
      <c r="AJ118" s="27">
        <f t="shared" si="19"/>
        <v>8.2000000000000003E-2</v>
      </c>
      <c r="AK118" s="28">
        <f t="shared" si="20"/>
        <v>48.387096774193552</v>
      </c>
      <c r="AL118" s="21"/>
    </row>
    <row r="119" spans="33:38" x14ac:dyDescent="0.55000000000000004">
      <c r="AG119" s="20"/>
      <c r="AH119" s="26">
        <v>111</v>
      </c>
      <c r="AI119" s="27">
        <f t="shared" si="18"/>
        <v>-1.925929944387236E-35</v>
      </c>
      <c r="AJ119" s="27">
        <f t="shared" si="19"/>
        <v>8.2000000000000003E-2</v>
      </c>
      <c r="AK119" s="28">
        <f t="shared" si="20"/>
        <v>48.387096774193552</v>
      </c>
      <c r="AL119" s="21"/>
    </row>
    <row r="120" spans="33:38" x14ac:dyDescent="0.55000000000000004">
      <c r="AG120" s="20"/>
      <c r="AH120" s="26">
        <v>112</v>
      </c>
      <c r="AI120" s="27">
        <f t="shared" si="18"/>
        <v>9.6296497219361798E-36</v>
      </c>
      <c r="AJ120" s="27">
        <f t="shared" si="19"/>
        <v>8.2000000000000003E-2</v>
      </c>
      <c r="AK120" s="28">
        <f t="shared" si="20"/>
        <v>48.387096774193552</v>
      </c>
      <c r="AL120" s="21"/>
    </row>
    <row r="121" spans="33:38" x14ac:dyDescent="0.55000000000000004">
      <c r="AG121" s="20"/>
      <c r="AH121" s="26">
        <v>113</v>
      </c>
      <c r="AI121" s="27">
        <f t="shared" si="18"/>
        <v>-4.8148248609680899E-36</v>
      </c>
      <c r="AJ121" s="27">
        <f t="shared" si="19"/>
        <v>8.2000000000000003E-2</v>
      </c>
      <c r="AK121" s="28">
        <f t="shared" si="20"/>
        <v>48.387096774193552</v>
      </c>
      <c r="AL121" s="21"/>
    </row>
    <row r="122" spans="33:38" x14ac:dyDescent="0.55000000000000004">
      <c r="AG122" s="20"/>
      <c r="AH122" s="26">
        <v>114</v>
      </c>
      <c r="AI122" s="27">
        <f t="shared" si="18"/>
        <v>2.4074124304840449E-36</v>
      </c>
      <c r="AJ122" s="27">
        <f t="shared" si="19"/>
        <v>8.2000000000000003E-2</v>
      </c>
      <c r="AK122" s="28">
        <f t="shared" si="20"/>
        <v>48.387096774193552</v>
      </c>
      <c r="AL122" s="21"/>
    </row>
    <row r="123" spans="33:38" x14ac:dyDescent="0.55000000000000004">
      <c r="AG123" s="20"/>
      <c r="AH123" s="26">
        <v>115</v>
      </c>
      <c r="AI123" s="27">
        <f t="shared" si="18"/>
        <v>-1.2037062152420225E-36</v>
      </c>
      <c r="AJ123" s="27">
        <f t="shared" si="19"/>
        <v>8.2000000000000003E-2</v>
      </c>
      <c r="AK123" s="28">
        <f t="shared" si="20"/>
        <v>48.387096774193552</v>
      </c>
      <c r="AL123" s="21"/>
    </row>
    <row r="124" spans="33:38" x14ac:dyDescent="0.55000000000000004">
      <c r="AG124" s="20"/>
      <c r="AH124" s="26">
        <v>116</v>
      </c>
      <c r="AI124" s="27">
        <f t="shared" si="18"/>
        <v>6.0185310762101124E-37</v>
      </c>
      <c r="AJ124" s="27">
        <f t="shared" si="19"/>
        <v>8.2000000000000003E-2</v>
      </c>
      <c r="AK124" s="28">
        <f t="shared" si="20"/>
        <v>48.387096774193552</v>
      </c>
      <c r="AL124" s="21"/>
    </row>
    <row r="125" spans="33:38" x14ac:dyDescent="0.55000000000000004">
      <c r="AG125" s="20"/>
      <c r="AH125" s="26">
        <v>117</v>
      </c>
      <c r="AI125" s="27">
        <f t="shared" si="18"/>
        <v>-3.0092655381050562E-37</v>
      </c>
      <c r="AJ125" s="27">
        <f t="shared" si="19"/>
        <v>8.2000000000000003E-2</v>
      </c>
      <c r="AK125" s="28">
        <f t="shared" si="20"/>
        <v>48.387096774193552</v>
      </c>
      <c r="AL125" s="21"/>
    </row>
    <row r="126" spans="33:38" x14ac:dyDescent="0.55000000000000004">
      <c r="AG126" s="20"/>
      <c r="AH126" s="26">
        <v>118</v>
      </c>
      <c r="AI126" s="27">
        <f t="shared" si="18"/>
        <v>1.5046327690525281E-37</v>
      </c>
      <c r="AJ126" s="27">
        <f t="shared" si="19"/>
        <v>8.2000000000000003E-2</v>
      </c>
      <c r="AK126" s="28">
        <f t="shared" si="20"/>
        <v>48.387096774193552</v>
      </c>
      <c r="AL126" s="21"/>
    </row>
    <row r="127" spans="33:38" x14ac:dyDescent="0.55000000000000004">
      <c r="AG127" s="20"/>
      <c r="AH127" s="26">
        <v>119</v>
      </c>
      <c r="AI127" s="27">
        <f t="shared" si="18"/>
        <v>-7.5231638452626405E-38</v>
      </c>
      <c r="AJ127" s="27">
        <f t="shared" si="19"/>
        <v>8.2000000000000003E-2</v>
      </c>
      <c r="AK127" s="28">
        <f t="shared" si="20"/>
        <v>48.387096774193552</v>
      </c>
      <c r="AL127" s="21"/>
    </row>
    <row r="128" spans="33:38" x14ac:dyDescent="0.55000000000000004">
      <c r="AG128" s="20"/>
      <c r="AH128" s="26">
        <v>120</v>
      </c>
      <c r="AI128" s="27">
        <f t="shared" si="18"/>
        <v>3.7615819226313202E-38</v>
      </c>
      <c r="AJ128" s="27">
        <f t="shared" si="19"/>
        <v>8.2000000000000003E-2</v>
      </c>
      <c r="AK128" s="28">
        <f t="shared" si="20"/>
        <v>48.387096774193552</v>
      </c>
      <c r="AL128" s="21"/>
    </row>
    <row r="129" spans="33:38" x14ac:dyDescent="0.55000000000000004">
      <c r="AG129" s="20"/>
      <c r="AH129" s="26">
        <v>121</v>
      </c>
      <c r="AI129" s="27">
        <f t="shared" si="18"/>
        <v>-1.8807909613156601E-38</v>
      </c>
      <c r="AJ129" s="27">
        <f t="shared" si="19"/>
        <v>8.2000000000000003E-2</v>
      </c>
      <c r="AK129" s="28">
        <f t="shared" si="20"/>
        <v>48.387096774193552</v>
      </c>
      <c r="AL129" s="21"/>
    </row>
    <row r="130" spans="33:38" x14ac:dyDescent="0.55000000000000004">
      <c r="AG130" s="20"/>
      <c r="AH130" s="26">
        <v>122</v>
      </c>
      <c r="AI130" s="27">
        <f t="shared" si="18"/>
        <v>9.4039548065783006E-39</v>
      </c>
      <c r="AJ130" s="27">
        <f t="shared" si="19"/>
        <v>8.2000000000000003E-2</v>
      </c>
      <c r="AK130" s="28">
        <f t="shared" si="20"/>
        <v>48.387096774193552</v>
      </c>
      <c r="AL130" s="21"/>
    </row>
    <row r="131" spans="33:38" x14ac:dyDescent="0.55000000000000004">
      <c r="AG131" s="20"/>
      <c r="AH131" s="26">
        <v>123</v>
      </c>
      <c r="AI131" s="27">
        <f t="shared" si="18"/>
        <v>-4.7019774032891503E-39</v>
      </c>
      <c r="AJ131" s="27">
        <f t="shared" si="19"/>
        <v>8.2000000000000003E-2</v>
      </c>
      <c r="AK131" s="28">
        <f t="shared" si="20"/>
        <v>48.387096774193552</v>
      </c>
      <c r="AL131" s="21"/>
    </row>
    <row r="132" spans="33:38" x14ac:dyDescent="0.55000000000000004">
      <c r="AG132" s="20"/>
      <c r="AH132" s="26">
        <v>124</v>
      </c>
      <c r="AI132" s="27">
        <f t="shared" si="18"/>
        <v>2.3509887016445751E-39</v>
      </c>
      <c r="AJ132" s="27">
        <f t="shared" si="19"/>
        <v>8.2000000000000003E-2</v>
      </c>
      <c r="AK132" s="28">
        <f t="shared" si="20"/>
        <v>48.387096774193552</v>
      </c>
      <c r="AL132" s="21"/>
    </row>
    <row r="133" spans="33:38" x14ac:dyDescent="0.55000000000000004">
      <c r="AG133" s="20"/>
      <c r="AH133" s="26">
        <v>125</v>
      </c>
      <c r="AI133" s="27">
        <f t="shared" si="18"/>
        <v>-1.1754943508222876E-39</v>
      </c>
      <c r="AJ133" s="27">
        <f t="shared" si="19"/>
        <v>8.2000000000000003E-2</v>
      </c>
      <c r="AK133" s="28">
        <f t="shared" si="20"/>
        <v>48.387096774193552</v>
      </c>
      <c r="AL133" s="21"/>
    </row>
    <row r="134" spans="33:38" x14ac:dyDescent="0.55000000000000004">
      <c r="AG134" s="20"/>
      <c r="AH134" s="26">
        <v>126</v>
      </c>
      <c r="AI134" s="27">
        <f t="shared" si="18"/>
        <v>5.8774717541114379E-40</v>
      </c>
      <c r="AJ134" s="27">
        <f t="shared" si="19"/>
        <v>8.2000000000000003E-2</v>
      </c>
      <c r="AK134" s="28">
        <f t="shared" si="20"/>
        <v>48.387096774193552</v>
      </c>
      <c r="AL134" s="21"/>
    </row>
    <row r="135" spans="33:38" x14ac:dyDescent="0.55000000000000004">
      <c r="AG135" s="20"/>
      <c r="AH135" s="26">
        <v>127</v>
      </c>
      <c r="AI135" s="27">
        <f t="shared" si="18"/>
        <v>-2.9387358770557189E-40</v>
      </c>
      <c r="AJ135" s="27">
        <f t="shared" si="19"/>
        <v>8.2000000000000003E-2</v>
      </c>
      <c r="AK135" s="28">
        <f t="shared" si="20"/>
        <v>48.387096774193552</v>
      </c>
      <c r="AL135" s="21"/>
    </row>
    <row r="136" spans="33:38" x14ac:dyDescent="0.55000000000000004">
      <c r="AG136" s="20"/>
      <c r="AH136" s="26">
        <v>128</v>
      </c>
      <c r="AI136" s="27">
        <f t="shared" si="18"/>
        <v>1.4693679385278595E-40</v>
      </c>
      <c r="AJ136" s="27">
        <f t="shared" si="19"/>
        <v>8.2000000000000003E-2</v>
      </c>
      <c r="AK136" s="28">
        <f t="shared" si="20"/>
        <v>48.387096774193552</v>
      </c>
      <c r="AL136" s="21"/>
    </row>
    <row r="137" spans="33:38" x14ac:dyDescent="0.55000000000000004">
      <c r="AG137" s="20"/>
      <c r="AH137" s="26">
        <v>129</v>
      </c>
      <c r="AI137" s="27">
        <f t="shared" si="18"/>
        <v>-7.3468396926392973E-41</v>
      </c>
      <c r="AJ137" s="27">
        <f t="shared" si="19"/>
        <v>8.2000000000000003E-2</v>
      </c>
      <c r="AK137" s="28">
        <f t="shared" si="20"/>
        <v>48.387096774193552</v>
      </c>
      <c r="AL137" s="21"/>
    </row>
    <row r="138" spans="33:38" x14ac:dyDescent="0.55000000000000004">
      <c r="AG138" s="20"/>
      <c r="AH138" s="26">
        <v>130</v>
      </c>
      <c r="AI138" s="27">
        <f t="shared" si="18"/>
        <v>3.6734198463196487E-41</v>
      </c>
      <c r="AJ138" s="27">
        <f t="shared" si="19"/>
        <v>8.2000000000000003E-2</v>
      </c>
      <c r="AK138" s="28">
        <f t="shared" si="20"/>
        <v>48.387096774193552</v>
      </c>
      <c r="AL138" s="21"/>
    </row>
    <row r="139" spans="33:38" x14ac:dyDescent="0.55000000000000004">
      <c r="AG139" s="20"/>
      <c r="AH139" s="26">
        <v>131</v>
      </c>
      <c r="AI139" s="27">
        <f t="shared" si="18"/>
        <v>-1.8367099231598243E-41</v>
      </c>
      <c r="AJ139" s="27">
        <f t="shared" si="19"/>
        <v>8.2000000000000003E-2</v>
      </c>
      <c r="AK139" s="28">
        <f t="shared" si="20"/>
        <v>48.387096774193552</v>
      </c>
      <c r="AL139" s="21"/>
    </row>
    <row r="140" spans="33:38" x14ac:dyDescent="0.55000000000000004">
      <c r="AG140" s="20"/>
      <c r="AH140" s="26">
        <v>132</v>
      </c>
      <c r="AI140" s="27">
        <f t="shared" si="18"/>
        <v>9.1835496157991217E-42</v>
      </c>
      <c r="AJ140" s="27">
        <f t="shared" si="19"/>
        <v>8.2000000000000003E-2</v>
      </c>
      <c r="AK140" s="28">
        <f t="shared" si="20"/>
        <v>48.387096774193552</v>
      </c>
      <c r="AL140" s="21"/>
    </row>
    <row r="141" spans="33:38" x14ac:dyDescent="0.55000000000000004">
      <c r="AG141" s="20"/>
      <c r="AH141" s="26">
        <v>133</v>
      </c>
      <c r="AI141" s="27">
        <f t="shared" ref="AI141:AI173" si="21">IF(AH141=0,$I$13,AI140*(1-$I$14)*IF($I$15="Overreaction",-1,1))</f>
        <v>-4.5917748078995608E-42</v>
      </c>
      <c r="AJ141" s="27">
        <f t="shared" ref="AJ141:AJ173" si="22">$C$8+AI141</f>
        <v>8.2000000000000003E-2</v>
      </c>
      <c r="AK141" s="28">
        <f t="shared" ref="AK141:AK173" si="23">$E$8/(AJ141-$F$8)</f>
        <v>48.387096774193552</v>
      </c>
      <c r="AL141" s="21"/>
    </row>
    <row r="142" spans="33:38" x14ac:dyDescent="0.55000000000000004">
      <c r="AG142" s="20"/>
      <c r="AH142" s="26">
        <v>134</v>
      </c>
      <c r="AI142" s="27">
        <f t="shared" si="21"/>
        <v>2.2958874039497804E-42</v>
      </c>
      <c r="AJ142" s="27">
        <f t="shared" si="22"/>
        <v>8.2000000000000003E-2</v>
      </c>
      <c r="AK142" s="28">
        <f t="shared" si="23"/>
        <v>48.387096774193552</v>
      </c>
      <c r="AL142" s="21"/>
    </row>
    <row r="143" spans="33:38" x14ac:dyDescent="0.55000000000000004">
      <c r="AG143" s="20"/>
      <c r="AH143" s="26">
        <v>135</v>
      </c>
      <c r="AI143" s="27">
        <f t="shared" si="21"/>
        <v>-1.1479437019748902E-42</v>
      </c>
      <c r="AJ143" s="27">
        <f t="shared" si="22"/>
        <v>8.2000000000000003E-2</v>
      </c>
      <c r="AK143" s="28">
        <f t="shared" si="23"/>
        <v>48.387096774193552</v>
      </c>
      <c r="AL143" s="21"/>
    </row>
    <row r="144" spans="33:38" x14ac:dyDescent="0.55000000000000004">
      <c r="AG144" s="20"/>
      <c r="AH144" s="26">
        <v>136</v>
      </c>
      <c r="AI144" s="27">
        <f t="shared" si="21"/>
        <v>5.739718509874451E-43</v>
      </c>
      <c r="AJ144" s="27">
        <f t="shared" si="22"/>
        <v>8.2000000000000003E-2</v>
      </c>
      <c r="AK144" s="28">
        <f t="shared" si="23"/>
        <v>48.387096774193552</v>
      </c>
      <c r="AL144" s="21"/>
    </row>
    <row r="145" spans="33:38" x14ac:dyDescent="0.55000000000000004">
      <c r="AG145" s="20"/>
      <c r="AH145" s="26">
        <v>137</v>
      </c>
      <c r="AI145" s="27">
        <f t="shared" si="21"/>
        <v>-2.8698592549372255E-43</v>
      </c>
      <c r="AJ145" s="27">
        <f t="shared" si="22"/>
        <v>8.2000000000000003E-2</v>
      </c>
      <c r="AK145" s="28">
        <f t="shared" si="23"/>
        <v>48.387096774193552</v>
      </c>
      <c r="AL145" s="21"/>
    </row>
    <row r="146" spans="33:38" x14ac:dyDescent="0.55000000000000004">
      <c r="AG146" s="20"/>
      <c r="AH146" s="26">
        <v>138</v>
      </c>
      <c r="AI146" s="27">
        <f t="shared" si="21"/>
        <v>1.4349296274686128E-43</v>
      </c>
      <c r="AJ146" s="27">
        <f t="shared" si="22"/>
        <v>8.2000000000000003E-2</v>
      </c>
      <c r="AK146" s="28">
        <f t="shared" si="23"/>
        <v>48.387096774193552</v>
      </c>
      <c r="AL146" s="21"/>
    </row>
    <row r="147" spans="33:38" x14ac:dyDescent="0.55000000000000004">
      <c r="AG147" s="20"/>
      <c r="AH147" s="26">
        <v>139</v>
      </c>
      <c r="AI147" s="27">
        <f t="shared" si="21"/>
        <v>-7.1746481373430638E-44</v>
      </c>
      <c r="AJ147" s="27">
        <f t="shared" si="22"/>
        <v>8.2000000000000003E-2</v>
      </c>
      <c r="AK147" s="28">
        <f t="shared" si="23"/>
        <v>48.387096774193552</v>
      </c>
      <c r="AL147" s="21"/>
    </row>
    <row r="148" spans="33:38" x14ac:dyDescent="0.55000000000000004">
      <c r="AG148" s="20"/>
      <c r="AH148" s="26">
        <v>140</v>
      </c>
      <c r="AI148" s="27">
        <f t="shared" si="21"/>
        <v>3.5873240686715319E-44</v>
      </c>
      <c r="AJ148" s="27">
        <f t="shared" si="22"/>
        <v>8.2000000000000003E-2</v>
      </c>
      <c r="AK148" s="28">
        <f t="shared" si="23"/>
        <v>48.387096774193552</v>
      </c>
      <c r="AL148" s="21"/>
    </row>
    <row r="149" spans="33:38" x14ac:dyDescent="0.55000000000000004">
      <c r="AG149" s="20"/>
      <c r="AH149" s="26">
        <v>141</v>
      </c>
      <c r="AI149" s="27">
        <f t="shared" si="21"/>
        <v>-1.793662034335766E-44</v>
      </c>
      <c r="AJ149" s="27">
        <f t="shared" si="22"/>
        <v>8.2000000000000003E-2</v>
      </c>
      <c r="AK149" s="28">
        <f t="shared" si="23"/>
        <v>48.387096774193552</v>
      </c>
      <c r="AL149" s="21"/>
    </row>
    <row r="150" spans="33:38" x14ac:dyDescent="0.55000000000000004">
      <c r="AG150" s="20"/>
      <c r="AH150" s="26">
        <v>142</v>
      </c>
      <c r="AI150" s="27">
        <f t="shared" si="21"/>
        <v>8.9683101716788298E-45</v>
      </c>
      <c r="AJ150" s="27">
        <f t="shared" si="22"/>
        <v>8.2000000000000003E-2</v>
      </c>
      <c r="AK150" s="28">
        <f t="shared" si="23"/>
        <v>48.387096774193552</v>
      </c>
      <c r="AL150" s="21"/>
    </row>
    <row r="151" spans="33:38" x14ac:dyDescent="0.55000000000000004">
      <c r="AG151" s="20"/>
      <c r="AH151" s="26">
        <v>143</v>
      </c>
      <c r="AI151" s="27">
        <f t="shared" si="21"/>
        <v>-4.4841550858394149E-45</v>
      </c>
      <c r="AJ151" s="27">
        <f t="shared" si="22"/>
        <v>8.2000000000000003E-2</v>
      </c>
      <c r="AK151" s="28">
        <f t="shared" si="23"/>
        <v>48.387096774193552</v>
      </c>
      <c r="AL151" s="21"/>
    </row>
    <row r="152" spans="33:38" x14ac:dyDescent="0.55000000000000004">
      <c r="AG152" s="20"/>
      <c r="AH152" s="26">
        <v>144</v>
      </c>
      <c r="AI152" s="27">
        <f t="shared" si="21"/>
        <v>2.2420775429197074E-45</v>
      </c>
      <c r="AJ152" s="27">
        <f t="shared" si="22"/>
        <v>8.2000000000000003E-2</v>
      </c>
      <c r="AK152" s="28">
        <f t="shared" si="23"/>
        <v>48.387096774193552</v>
      </c>
      <c r="AL152" s="21"/>
    </row>
    <row r="153" spans="33:38" x14ac:dyDescent="0.55000000000000004">
      <c r="AG153" s="20"/>
      <c r="AH153" s="26">
        <v>145</v>
      </c>
      <c r="AI153" s="27">
        <f t="shared" si="21"/>
        <v>-1.1210387714598537E-45</v>
      </c>
      <c r="AJ153" s="27">
        <f t="shared" si="22"/>
        <v>8.2000000000000003E-2</v>
      </c>
      <c r="AK153" s="28">
        <f t="shared" si="23"/>
        <v>48.387096774193552</v>
      </c>
      <c r="AL153" s="21"/>
    </row>
    <row r="154" spans="33:38" x14ac:dyDescent="0.55000000000000004">
      <c r="AG154" s="20"/>
      <c r="AH154" s="26">
        <v>146</v>
      </c>
      <c r="AI154" s="27">
        <f t="shared" si="21"/>
        <v>5.6051938572992686E-46</v>
      </c>
      <c r="AJ154" s="27">
        <f t="shared" si="22"/>
        <v>8.2000000000000003E-2</v>
      </c>
      <c r="AK154" s="28">
        <f t="shared" si="23"/>
        <v>48.387096774193552</v>
      </c>
      <c r="AL154" s="21"/>
    </row>
    <row r="155" spans="33:38" x14ac:dyDescent="0.55000000000000004">
      <c r="AG155" s="20"/>
      <c r="AH155" s="26">
        <v>147</v>
      </c>
      <c r="AI155" s="27">
        <f t="shared" si="21"/>
        <v>-2.8025969286496343E-46</v>
      </c>
      <c r="AJ155" s="27">
        <f t="shared" si="22"/>
        <v>8.2000000000000003E-2</v>
      </c>
      <c r="AK155" s="28">
        <f t="shared" si="23"/>
        <v>48.387096774193552</v>
      </c>
      <c r="AL155" s="21"/>
    </row>
    <row r="156" spans="33:38" x14ac:dyDescent="0.55000000000000004">
      <c r="AG156" s="20"/>
      <c r="AH156" s="26">
        <v>148</v>
      </c>
      <c r="AI156" s="27">
        <f t="shared" si="21"/>
        <v>1.4012984643248171E-46</v>
      </c>
      <c r="AJ156" s="27">
        <f t="shared" si="22"/>
        <v>8.2000000000000003E-2</v>
      </c>
      <c r="AK156" s="28">
        <f t="shared" si="23"/>
        <v>48.387096774193552</v>
      </c>
      <c r="AL156" s="21"/>
    </row>
    <row r="157" spans="33:38" x14ac:dyDescent="0.55000000000000004">
      <c r="AG157" s="20"/>
      <c r="AH157" s="26">
        <v>149</v>
      </c>
      <c r="AI157" s="27">
        <f t="shared" si="21"/>
        <v>-7.0064923216240857E-47</v>
      </c>
      <c r="AJ157" s="27">
        <f t="shared" si="22"/>
        <v>8.2000000000000003E-2</v>
      </c>
      <c r="AK157" s="28">
        <f t="shared" si="23"/>
        <v>48.387096774193552</v>
      </c>
      <c r="AL157" s="21"/>
    </row>
    <row r="158" spans="33:38" x14ac:dyDescent="0.55000000000000004">
      <c r="AG158" s="20"/>
      <c r="AH158" s="26">
        <v>150</v>
      </c>
      <c r="AI158" s="27">
        <f t="shared" si="21"/>
        <v>3.5032461608120429E-47</v>
      </c>
      <c r="AJ158" s="27">
        <f t="shared" si="22"/>
        <v>8.2000000000000003E-2</v>
      </c>
      <c r="AK158" s="28">
        <f t="shared" si="23"/>
        <v>48.387096774193552</v>
      </c>
      <c r="AL158" s="21"/>
    </row>
    <row r="159" spans="33:38" x14ac:dyDescent="0.55000000000000004">
      <c r="AG159" s="20"/>
      <c r="AH159" s="26">
        <v>151</v>
      </c>
      <c r="AI159" s="27">
        <f t="shared" si="21"/>
        <v>-1.7516230804060214E-47</v>
      </c>
      <c r="AJ159" s="27">
        <f t="shared" si="22"/>
        <v>8.2000000000000003E-2</v>
      </c>
      <c r="AK159" s="28">
        <f t="shared" si="23"/>
        <v>48.387096774193552</v>
      </c>
      <c r="AL159" s="21"/>
    </row>
    <row r="160" spans="33:38" x14ac:dyDescent="0.55000000000000004">
      <c r="AG160" s="20"/>
      <c r="AH160" s="26">
        <v>152</v>
      </c>
      <c r="AI160" s="27">
        <f t="shared" si="21"/>
        <v>8.7581154020301072E-48</v>
      </c>
      <c r="AJ160" s="27">
        <f t="shared" si="22"/>
        <v>8.2000000000000003E-2</v>
      </c>
      <c r="AK160" s="28">
        <f t="shared" si="23"/>
        <v>48.387096774193552</v>
      </c>
      <c r="AL160" s="21"/>
    </row>
    <row r="161" spans="33:38" x14ac:dyDescent="0.55000000000000004">
      <c r="AG161" s="20"/>
      <c r="AH161" s="26">
        <v>153</v>
      </c>
      <c r="AI161" s="27">
        <f t="shared" si="21"/>
        <v>-4.3790577010150536E-48</v>
      </c>
      <c r="AJ161" s="27">
        <f t="shared" si="22"/>
        <v>8.2000000000000003E-2</v>
      </c>
      <c r="AK161" s="28">
        <f t="shared" si="23"/>
        <v>48.387096774193552</v>
      </c>
      <c r="AL161" s="21"/>
    </row>
    <row r="162" spans="33:38" x14ac:dyDescent="0.55000000000000004">
      <c r="AG162" s="20"/>
      <c r="AH162" s="26">
        <v>154</v>
      </c>
      <c r="AI162" s="27">
        <f t="shared" si="21"/>
        <v>2.1895288505075268E-48</v>
      </c>
      <c r="AJ162" s="27">
        <f t="shared" si="22"/>
        <v>8.2000000000000003E-2</v>
      </c>
      <c r="AK162" s="28">
        <f t="shared" si="23"/>
        <v>48.387096774193552</v>
      </c>
      <c r="AL162" s="21"/>
    </row>
    <row r="163" spans="33:38" x14ac:dyDescent="0.55000000000000004">
      <c r="AG163" s="20"/>
      <c r="AH163" s="26">
        <v>155</v>
      </c>
      <c r="AI163" s="27">
        <f t="shared" si="21"/>
        <v>-1.0947644252537634E-48</v>
      </c>
      <c r="AJ163" s="27">
        <f t="shared" si="22"/>
        <v>8.2000000000000003E-2</v>
      </c>
      <c r="AK163" s="28">
        <f t="shared" si="23"/>
        <v>48.387096774193552</v>
      </c>
      <c r="AL163" s="21"/>
    </row>
    <row r="164" spans="33:38" x14ac:dyDescent="0.55000000000000004">
      <c r="AG164" s="20"/>
      <c r="AH164" s="26">
        <v>156</v>
      </c>
      <c r="AI164" s="27">
        <f t="shared" si="21"/>
        <v>5.473822126268817E-49</v>
      </c>
      <c r="AJ164" s="27">
        <f t="shared" si="22"/>
        <v>8.2000000000000003E-2</v>
      </c>
      <c r="AK164" s="28">
        <f t="shared" si="23"/>
        <v>48.387096774193552</v>
      </c>
      <c r="AL164" s="21"/>
    </row>
    <row r="165" spans="33:38" x14ac:dyDescent="0.55000000000000004">
      <c r="AG165" s="20"/>
      <c r="AH165" s="26">
        <v>157</v>
      </c>
      <c r="AI165" s="27">
        <f t="shared" si="21"/>
        <v>-2.7369110631344085E-49</v>
      </c>
      <c r="AJ165" s="27">
        <f t="shared" si="22"/>
        <v>8.2000000000000003E-2</v>
      </c>
      <c r="AK165" s="28">
        <f t="shared" si="23"/>
        <v>48.387096774193552</v>
      </c>
      <c r="AL165" s="21"/>
    </row>
    <row r="166" spans="33:38" x14ac:dyDescent="0.55000000000000004">
      <c r="AG166" s="20"/>
      <c r="AH166" s="26">
        <v>158</v>
      </c>
      <c r="AI166" s="27">
        <f t="shared" si="21"/>
        <v>1.3684555315672042E-49</v>
      </c>
      <c r="AJ166" s="27">
        <f t="shared" si="22"/>
        <v>8.2000000000000003E-2</v>
      </c>
      <c r="AK166" s="28">
        <f t="shared" si="23"/>
        <v>48.387096774193552</v>
      </c>
      <c r="AL166" s="21"/>
    </row>
    <row r="167" spans="33:38" x14ac:dyDescent="0.55000000000000004">
      <c r="AG167" s="20"/>
      <c r="AH167" s="26">
        <v>159</v>
      </c>
      <c r="AI167" s="27">
        <f t="shared" si="21"/>
        <v>-6.8422776578360212E-50</v>
      </c>
      <c r="AJ167" s="27">
        <f t="shared" si="22"/>
        <v>8.2000000000000003E-2</v>
      </c>
      <c r="AK167" s="28">
        <f t="shared" si="23"/>
        <v>48.387096774193552</v>
      </c>
      <c r="AL167" s="21"/>
    </row>
    <row r="168" spans="33:38" x14ac:dyDescent="0.55000000000000004">
      <c r="AG168" s="20"/>
      <c r="AH168" s="26">
        <v>160</v>
      </c>
      <c r="AI168" s="27">
        <f t="shared" si="21"/>
        <v>3.4211388289180106E-50</v>
      </c>
      <c r="AJ168" s="27">
        <f t="shared" si="22"/>
        <v>8.2000000000000003E-2</v>
      </c>
      <c r="AK168" s="28">
        <f t="shared" si="23"/>
        <v>48.387096774193552</v>
      </c>
      <c r="AL168" s="21"/>
    </row>
    <row r="169" spans="33:38" x14ac:dyDescent="0.55000000000000004">
      <c r="AG169" s="20"/>
      <c r="AH169" s="26">
        <v>161</v>
      </c>
      <c r="AI169" s="27">
        <f t="shared" si="21"/>
        <v>-1.7105694144590053E-50</v>
      </c>
      <c r="AJ169" s="27">
        <f t="shared" si="22"/>
        <v>8.2000000000000003E-2</v>
      </c>
      <c r="AK169" s="28">
        <f t="shared" si="23"/>
        <v>48.387096774193552</v>
      </c>
      <c r="AL169" s="21"/>
    </row>
    <row r="170" spans="33:38" x14ac:dyDescent="0.55000000000000004">
      <c r="AG170" s="20"/>
      <c r="AH170" s="26">
        <v>162</v>
      </c>
      <c r="AI170" s="27">
        <f t="shared" si="21"/>
        <v>8.5528470722950265E-51</v>
      </c>
      <c r="AJ170" s="27">
        <f t="shared" si="22"/>
        <v>8.2000000000000003E-2</v>
      </c>
      <c r="AK170" s="28">
        <f t="shared" si="23"/>
        <v>48.387096774193552</v>
      </c>
      <c r="AL170" s="21"/>
    </row>
    <row r="171" spans="33:38" x14ac:dyDescent="0.55000000000000004">
      <c r="AG171" s="20"/>
      <c r="AH171" s="26">
        <v>163</v>
      </c>
      <c r="AI171" s="27">
        <f t="shared" si="21"/>
        <v>-4.2764235361475133E-51</v>
      </c>
      <c r="AJ171" s="27">
        <f t="shared" si="22"/>
        <v>8.2000000000000003E-2</v>
      </c>
      <c r="AK171" s="28">
        <f t="shared" si="23"/>
        <v>48.387096774193552</v>
      </c>
      <c r="AL171" s="21"/>
    </row>
    <row r="172" spans="33:38" x14ac:dyDescent="0.55000000000000004">
      <c r="AG172" s="20"/>
      <c r="AH172" s="26">
        <v>164</v>
      </c>
      <c r="AI172" s="27">
        <f t="shared" si="21"/>
        <v>2.1382117680737566E-51</v>
      </c>
      <c r="AJ172" s="27">
        <f t="shared" si="22"/>
        <v>8.2000000000000003E-2</v>
      </c>
      <c r="AK172" s="28">
        <f t="shared" si="23"/>
        <v>48.387096774193552</v>
      </c>
      <c r="AL172" s="21"/>
    </row>
    <row r="173" spans="33:38" x14ac:dyDescent="0.55000000000000004">
      <c r="AG173" s="20"/>
      <c r="AH173" s="26">
        <v>165</v>
      </c>
      <c r="AI173" s="27">
        <f t="shared" si="21"/>
        <v>-1.0691058840368783E-51</v>
      </c>
      <c r="AJ173" s="27">
        <f t="shared" si="22"/>
        <v>8.2000000000000003E-2</v>
      </c>
      <c r="AK173" s="28">
        <f t="shared" si="23"/>
        <v>48.387096774193552</v>
      </c>
      <c r="AL173" s="21"/>
    </row>
    <row r="174" spans="33:38" x14ac:dyDescent="0.55000000000000004">
      <c r="AG174" s="20"/>
      <c r="AH174" s="26">
        <v>166</v>
      </c>
      <c r="AI174" s="27">
        <f t="shared" ref="AI174:AI205" si="24">IF(AH174=0,$I$13,AI173*(1-$I$14)*IF($I$15="Overreaction",-1,1))</f>
        <v>5.3455294201843916E-52</v>
      </c>
      <c r="AJ174" s="27">
        <f t="shared" ref="AJ174:AJ205" si="25">$C$8+AI174</f>
        <v>8.2000000000000003E-2</v>
      </c>
      <c r="AK174" s="28">
        <f t="shared" ref="AK174:AK205" si="26">$E$8/(AJ174-$F$8)</f>
        <v>48.387096774193552</v>
      </c>
      <c r="AL174" s="21"/>
    </row>
    <row r="175" spans="33:38" x14ac:dyDescent="0.55000000000000004">
      <c r="AG175" s="20"/>
      <c r="AH175" s="26">
        <v>167</v>
      </c>
      <c r="AI175" s="27">
        <f t="shared" si="24"/>
        <v>-2.6727647100921958E-52</v>
      </c>
      <c r="AJ175" s="27">
        <f t="shared" si="25"/>
        <v>8.2000000000000003E-2</v>
      </c>
      <c r="AK175" s="28">
        <f t="shared" si="26"/>
        <v>48.387096774193552</v>
      </c>
      <c r="AL175" s="21"/>
    </row>
    <row r="176" spans="33:38" x14ac:dyDescent="0.55000000000000004">
      <c r="AG176" s="20"/>
      <c r="AH176" s="26">
        <v>168</v>
      </c>
      <c r="AI176" s="27">
        <f t="shared" si="24"/>
        <v>1.3363823550460979E-52</v>
      </c>
      <c r="AJ176" s="27">
        <f t="shared" si="25"/>
        <v>8.2000000000000003E-2</v>
      </c>
      <c r="AK176" s="28">
        <f t="shared" si="26"/>
        <v>48.387096774193552</v>
      </c>
      <c r="AL176" s="21"/>
    </row>
    <row r="177" spans="33:38" x14ac:dyDescent="0.55000000000000004">
      <c r="AG177" s="20"/>
      <c r="AH177" s="26">
        <v>169</v>
      </c>
      <c r="AI177" s="27">
        <f t="shared" si="24"/>
        <v>-6.6819117752304895E-53</v>
      </c>
      <c r="AJ177" s="27">
        <f t="shared" si="25"/>
        <v>8.2000000000000003E-2</v>
      </c>
      <c r="AK177" s="28">
        <f t="shared" si="26"/>
        <v>48.387096774193552</v>
      </c>
      <c r="AL177" s="21"/>
    </row>
    <row r="178" spans="33:38" x14ac:dyDescent="0.55000000000000004">
      <c r="AG178" s="20"/>
      <c r="AH178" s="26">
        <v>170</v>
      </c>
      <c r="AI178" s="27">
        <f t="shared" si="24"/>
        <v>3.3409558876152447E-53</v>
      </c>
      <c r="AJ178" s="27">
        <f t="shared" si="25"/>
        <v>8.2000000000000003E-2</v>
      </c>
      <c r="AK178" s="28">
        <f t="shared" si="26"/>
        <v>48.387096774193552</v>
      </c>
      <c r="AL178" s="21"/>
    </row>
    <row r="179" spans="33:38" x14ac:dyDescent="0.55000000000000004">
      <c r="AG179" s="20"/>
      <c r="AH179" s="26">
        <v>171</v>
      </c>
      <c r="AI179" s="27">
        <f t="shared" si="24"/>
        <v>-1.6704779438076224E-53</v>
      </c>
      <c r="AJ179" s="27">
        <f t="shared" si="25"/>
        <v>8.2000000000000003E-2</v>
      </c>
      <c r="AK179" s="28">
        <f t="shared" si="26"/>
        <v>48.387096774193552</v>
      </c>
      <c r="AL179" s="21"/>
    </row>
    <row r="180" spans="33:38" x14ac:dyDescent="0.55000000000000004">
      <c r="AG180" s="20"/>
      <c r="AH180" s="26">
        <v>172</v>
      </c>
      <c r="AI180" s="27">
        <f t="shared" si="24"/>
        <v>8.3523897190381119E-54</v>
      </c>
      <c r="AJ180" s="27">
        <f t="shared" si="25"/>
        <v>8.2000000000000003E-2</v>
      </c>
      <c r="AK180" s="28">
        <f t="shared" si="26"/>
        <v>48.387096774193552</v>
      </c>
      <c r="AL180" s="21"/>
    </row>
    <row r="181" spans="33:38" x14ac:dyDescent="0.55000000000000004">
      <c r="AG181" s="20"/>
      <c r="AH181" s="26">
        <v>173</v>
      </c>
      <c r="AI181" s="27">
        <f t="shared" si="24"/>
        <v>-4.1761948595190559E-54</v>
      </c>
      <c r="AJ181" s="27">
        <f t="shared" si="25"/>
        <v>8.2000000000000003E-2</v>
      </c>
      <c r="AK181" s="28">
        <f t="shared" si="26"/>
        <v>48.387096774193552</v>
      </c>
      <c r="AL181" s="21"/>
    </row>
    <row r="182" spans="33:38" x14ac:dyDescent="0.55000000000000004">
      <c r="AG182" s="20"/>
      <c r="AH182" s="26">
        <v>174</v>
      </c>
      <c r="AI182" s="27">
        <f t="shared" si="24"/>
        <v>2.088097429759528E-54</v>
      </c>
      <c r="AJ182" s="27">
        <f t="shared" si="25"/>
        <v>8.2000000000000003E-2</v>
      </c>
      <c r="AK182" s="28">
        <f t="shared" si="26"/>
        <v>48.387096774193552</v>
      </c>
      <c r="AL182" s="21"/>
    </row>
    <row r="183" spans="33:38" x14ac:dyDescent="0.55000000000000004">
      <c r="AG183" s="20"/>
      <c r="AH183" s="26">
        <v>175</v>
      </c>
      <c r="AI183" s="27">
        <f t="shared" si="24"/>
        <v>-1.044048714879764E-54</v>
      </c>
      <c r="AJ183" s="27">
        <f t="shared" si="25"/>
        <v>8.2000000000000003E-2</v>
      </c>
      <c r="AK183" s="28">
        <f t="shared" si="26"/>
        <v>48.387096774193552</v>
      </c>
      <c r="AL183" s="21"/>
    </row>
    <row r="184" spans="33:38" x14ac:dyDescent="0.55000000000000004">
      <c r="AG184" s="20"/>
      <c r="AH184" s="26">
        <v>176</v>
      </c>
      <c r="AI184" s="27">
        <f t="shared" si="24"/>
        <v>5.2202435743988199E-55</v>
      </c>
      <c r="AJ184" s="27">
        <f t="shared" si="25"/>
        <v>8.2000000000000003E-2</v>
      </c>
      <c r="AK184" s="28">
        <f t="shared" si="26"/>
        <v>48.387096774193552</v>
      </c>
      <c r="AL184" s="21"/>
    </row>
    <row r="185" spans="33:38" x14ac:dyDescent="0.55000000000000004">
      <c r="AG185" s="20"/>
      <c r="AH185" s="26">
        <v>177</v>
      </c>
      <c r="AI185" s="27">
        <f t="shared" si="24"/>
        <v>-2.61012178719941E-55</v>
      </c>
      <c r="AJ185" s="27">
        <f t="shared" si="25"/>
        <v>8.2000000000000003E-2</v>
      </c>
      <c r="AK185" s="28">
        <f t="shared" si="26"/>
        <v>48.387096774193552</v>
      </c>
      <c r="AL185" s="21"/>
    </row>
    <row r="186" spans="33:38" x14ac:dyDescent="0.55000000000000004">
      <c r="AG186" s="20"/>
      <c r="AH186" s="26">
        <v>178</v>
      </c>
      <c r="AI186" s="27">
        <f t="shared" si="24"/>
        <v>1.305060893599705E-55</v>
      </c>
      <c r="AJ186" s="27">
        <f t="shared" si="25"/>
        <v>8.2000000000000003E-2</v>
      </c>
      <c r="AK186" s="28">
        <f t="shared" si="26"/>
        <v>48.387096774193552</v>
      </c>
      <c r="AL186" s="21"/>
    </row>
    <row r="187" spans="33:38" x14ac:dyDescent="0.55000000000000004">
      <c r="AG187" s="20"/>
      <c r="AH187" s="26">
        <v>179</v>
      </c>
      <c r="AI187" s="27">
        <f t="shared" si="24"/>
        <v>-6.5253044679985249E-56</v>
      </c>
      <c r="AJ187" s="27">
        <f t="shared" si="25"/>
        <v>8.2000000000000003E-2</v>
      </c>
      <c r="AK187" s="28">
        <f t="shared" si="26"/>
        <v>48.387096774193552</v>
      </c>
      <c r="AL187" s="21"/>
    </row>
    <row r="188" spans="33:38" x14ac:dyDescent="0.55000000000000004">
      <c r="AG188" s="20"/>
      <c r="AH188" s="26">
        <v>180</v>
      </c>
      <c r="AI188" s="27">
        <f t="shared" si="24"/>
        <v>3.2626522339992624E-56</v>
      </c>
      <c r="AJ188" s="27">
        <f t="shared" si="25"/>
        <v>8.2000000000000003E-2</v>
      </c>
      <c r="AK188" s="28">
        <f t="shared" si="26"/>
        <v>48.387096774193552</v>
      </c>
      <c r="AL188" s="21"/>
    </row>
    <row r="189" spans="33:38" x14ac:dyDescent="0.55000000000000004">
      <c r="AG189" s="20"/>
      <c r="AH189" s="26">
        <v>181</v>
      </c>
      <c r="AI189" s="27">
        <f t="shared" si="24"/>
        <v>-1.6313261169996312E-56</v>
      </c>
      <c r="AJ189" s="27">
        <f t="shared" si="25"/>
        <v>8.2000000000000003E-2</v>
      </c>
      <c r="AK189" s="28">
        <f t="shared" si="26"/>
        <v>48.387096774193552</v>
      </c>
      <c r="AL189" s="21"/>
    </row>
    <row r="190" spans="33:38" x14ac:dyDescent="0.55000000000000004">
      <c r="AG190" s="20"/>
      <c r="AH190" s="26">
        <v>182</v>
      </c>
      <c r="AI190" s="27">
        <f t="shared" si="24"/>
        <v>8.1566305849981561E-57</v>
      </c>
      <c r="AJ190" s="27">
        <f t="shared" si="25"/>
        <v>8.2000000000000003E-2</v>
      </c>
      <c r="AK190" s="28">
        <f t="shared" si="26"/>
        <v>48.387096774193552</v>
      </c>
      <c r="AL190" s="21"/>
    </row>
    <row r="191" spans="33:38" x14ac:dyDescent="0.55000000000000004">
      <c r="AG191" s="20"/>
      <c r="AH191" s="26">
        <v>183</v>
      </c>
      <c r="AI191" s="27">
        <f t="shared" si="24"/>
        <v>-4.0783152924990781E-57</v>
      </c>
      <c r="AJ191" s="27">
        <f t="shared" si="25"/>
        <v>8.2000000000000003E-2</v>
      </c>
      <c r="AK191" s="28">
        <f t="shared" si="26"/>
        <v>48.387096774193552</v>
      </c>
      <c r="AL191" s="21"/>
    </row>
    <row r="192" spans="33:38" x14ac:dyDescent="0.55000000000000004">
      <c r="AG192" s="20"/>
      <c r="AH192" s="26">
        <v>184</v>
      </c>
      <c r="AI192" s="27">
        <f t="shared" si="24"/>
        <v>2.039157646249539E-57</v>
      </c>
      <c r="AJ192" s="27">
        <f t="shared" si="25"/>
        <v>8.2000000000000003E-2</v>
      </c>
      <c r="AK192" s="28">
        <f t="shared" si="26"/>
        <v>48.387096774193552</v>
      </c>
      <c r="AL192" s="21"/>
    </row>
    <row r="193" spans="33:38" x14ac:dyDescent="0.55000000000000004">
      <c r="AG193" s="20"/>
      <c r="AH193" s="26">
        <v>185</v>
      </c>
      <c r="AI193" s="27">
        <f t="shared" si="24"/>
        <v>-1.0195788231247695E-57</v>
      </c>
      <c r="AJ193" s="27">
        <f t="shared" si="25"/>
        <v>8.2000000000000003E-2</v>
      </c>
      <c r="AK193" s="28">
        <f t="shared" si="26"/>
        <v>48.387096774193552</v>
      </c>
      <c r="AL193" s="21"/>
    </row>
    <row r="194" spans="33:38" x14ac:dyDescent="0.55000000000000004">
      <c r="AG194" s="20"/>
      <c r="AH194" s="26">
        <v>186</v>
      </c>
      <c r="AI194" s="27">
        <f t="shared" si="24"/>
        <v>5.0978941156238476E-58</v>
      </c>
      <c r="AJ194" s="27">
        <f t="shared" si="25"/>
        <v>8.2000000000000003E-2</v>
      </c>
      <c r="AK194" s="28">
        <f t="shared" si="26"/>
        <v>48.387096774193552</v>
      </c>
      <c r="AL194" s="21"/>
    </row>
    <row r="195" spans="33:38" x14ac:dyDescent="0.55000000000000004">
      <c r="AG195" s="20"/>
      <c r="AH195" s="26">
        <v>187</v>
      </c>
      <c r="AI195" s="27">
        <f t="shared" si="24"/>
        <v>-2.5489470578119238E-58</v>
      </c>
      <c r="AJ195" s="27">
        <f t="shared" si="25"/>
        <v>8.2000000000000003E-2</v>
      </c>
      <c r="AK195" s="28">
        <f t="shared" si="26"/>
        <v>48.387096774193552</v>
      </c>
      <c r="AL195" s="21"/>
    </row>
    <row r="196" spans="33:38" x14ac:dyDescent="0.55000000000000004">
      <c r="AG196" s="20"/>
      <c r="AH196" s="26">
        <v>188</v>
      </c>
      <c r="AI196" s="27">
        <f t="shared" si="24"/>
        <v>1.2744735289059619E-58</v>
      </c>
      <c r="AJ196" s="27">
        <f t="shared" si="25"/>
        <v>8.2000000000000003E-2</v>
      </c>
      <c r="AK196" s="28">
        <f t="shared" si="26"/>
        <v>48.387096774193552</v>
      </c>
      <c r="AL196" s="21"/>
    </row>
    <row r="197" spans="33:38" x14ac:dyDescent="0.55000000000000004">
      <c r="AG197" s="20"/>
      <c r="AH197" s="26">
        <v>189</v>
      </c>
      <c r="AI197" s="27">
        <f t="shared" si="24"/>
        <v>-6.3723676445298095E-59</v>
      </c>
      <c r="AJ197" s="27">
        <f t="shared" si="25"/>
        <v>8.2000000000000003E-2</v>
      </c>
      <c r="AK197" s="28">
        <f t="shared" si="26"/>
        <v>48.387096774193552</v>
      </c>
      <c r="AL197" s="21"/>
    </row>
    <row r="198" spans="33:38" x14ac:dyDescent="0.55000000000000004">
      <c r="AG198" s="20"/>
      <c r="AH198" s="26">
        <v>190</v>
      </c>
      <c r="AI198" s="27">
        <f t="shared" si="24"/>
        <v>3.1861838222649047E-59</v>
      </c>
      <c r="AJ198" s="27">
        <f t="shared" si="25"/>
        <v>8.2000000000000003E-2</v>
      </c>
      <c r="AK198" s="28">
        <f t="shared" si="26"/>
        <v>48.387096774193552</v>
      </c>
      <c r="AL198" s="21"/>
    </row>
    <row r="199" spans="33:38" x14ac:dyDescent="0.55000000000000004">
      <c r="AG199" s="20"/>
      <c r="AH199" s="26">
        <v>191</v>
      </c>
      <c r="AI199" s="27">
        <f t="shared" si="24"/>
        <v>-1.5930919111324524E-59</v>
      </c>
      <c r="AJ199" s="27">
        <f t="shared" si="25"/>
        <v>8.2000000000000003E-2</v>
      </c>
      <c r="AK199" s="28">
        <f t="shared" si="26"/>
        <v>48.387096774193552</v>
      </c>
      <c r="AL199" s="21"/>
    </row>
    <row r="200" spans="33:38" x14ac:dyDescent="0.55000000000000004">
      <c r="AG200" s="20"/>
      <c r="AH200" s="26">
        <v>192</v>
      </c>
      <c r="AI200" s="27">
        <f t="shared" si="24"/>
        <v>7.9654595556622618E-60</v>
      </c>
      <c r="AJ200" s="27">
        <f t="shared" si="25"/>
        <v>8.2000000000000003E-2</v>
      </c>
      <c r="AK200" s="28">
        <f t="shared" si="26"/>
        <v>48.387096774193552</v>
      </c>
      <c r="AL200" s="21"/>
    </row>
    <row r="201" spans="33:38" x14ac:dyDescent="0.55000000000000004">
      <c r="AG201" s="20"/>
      <c r="AH201" s="26">
        <v>193</v>
      </c>
      <c r="AI201" s="27">
        <f t="shared" si="24"/>
        <v>-3.9827297778311309E-60</v>
      </c>
      <c r="AJ201" s="27">
        <f t="shared" si="25"/>
        <v>8.2000000000000003E-2</v>
      </c>
      <c r="AK201" s="28">
        <f t="shared" si="26"/>
        <v>48.387096774193552</v>
      </c>
      <c r="AL201" s="21"/>
    </row>
    <row r="202" spans="33:38" x14ac:dyDescent="0.55000000000000004">
      <c r="AG202" s="20"/>
      <c r="AH202" s="26">
        <v>194</v>
      </c>
      <c r="AI202" s="27">
        <f t="shared" si="24"/>
        <v>1.9913648889155655E-60</v>
      </c>
      <c r="AJ202" s="27">
        <f t="shared" si="25"/>
        <v>8.2000000000000003E-2</v>
      </c>
      <c r="AK202" s="28">
        <f t="shared" si="26"/>
        <v>48.387096774193552</v>
      </c>
      <c r="AL202" s="21"/>
    </row>
    <row r="203" spans="33:38" x14ac:dyDescent="0.55000000000000004">
      <c r="AG203" s="20"/>
      <c r="AH203" s="26">
        <v>195</v>
      </c>
      <c r="AI203" s="27">
        <f t="shared" si="24"/>
        <v>-9.9568244445778273E-61</v>
      </c>
      <c r="AJ203" s="27">
        <f t="shared" si="25"/>
        <v>8.2000000000000003E-2</v>
      </c>
      <c r="AK203" s="28">
        <f t="shared" si="26"/>
        <v>48.387096774193552</v>
      </c>
      <c r="AL203" s="21"/>
    </row>
    <row r="204" spans="33:38" x14ac:dyDescent="0.55000000000000004">
      <c r="AG204" s="20"/>
      <c r="AH204" s="26">
        <v>196</v>
      </c>
      <c r="AI204" s="27">
        <f t="shared" si="24"/>
        <v>4.9784122222889136E-61</v>
      </c>
      <c r="AJ204" s="27">
        <f t="shared" si="25"/>
        <v>8.2000000000000003E-2</v>
      </c>
      <c r="AK204" s="28">
        <f t="shared" si="26"/>
        <v>48.387096774193552</v>
      </c>
      <c r="AL204" s="21"/>
    </row>
    <row r="205" spans="33:38" x14ac:dyDescent="0.55000000000000004">
      <c r="AG205" s="20"/>
      <c r="AH205" s="26">
        <v>197</v>
      </c>
      <c r="AI205" s="27">
        <f t="shared" si="24"/>
        <v>-2.4892061111444568E-61</v>
      </c>
      <c r="AJ205" s="27">
        <f t="shared" si="25"/>
        <v>8.2000000000000003E-2</v>
      </c>
      <c r="AK205" s="28">
        <f t="shared" si="26"/>
        <v>48.387096774193552</v>
      </c>
      <c r="AL205" s="21"/>
    </row>
    <row r="206" spans="33:38" x14ac:dyDescent="0.55000000000000004">
      <c r="AG206" s="20"/>
      <c r="AH206" s="26">
        <v>198</v>
      </c>
      <c r="AI206" s="27">
        <f t="shared" ref="AI206:AI208" si="27">IF(AH206=0,$I$13,AI205*(1-$I$14)*IF($I$15="Overreaction",-1,1))</f>
        <v>1.2446030555722284E-61</v>
      </c>
      <c r="AJ206" s="27">
        <f t="shared" ref="AJ206:AJ208" si="28">$C$8+AI206</f>
        <v>8.2000000000000003E-2</v>
      </c>
      <c r="AK206" s="28">
        <f t="shared" ref="AK206:AK208" si="29">$E$8/(AJ206-$F$8)</f>
        <v>48.387096774193552</v>
      </c>
      <c r="AL206" s="21"/>
    </row>
    <row r="207" spans="33:38" x14ac:dyDescent="0.55000000000000004">
      <c r="AG207" s="20"/>
      <c r="AH207" s="26">
        <v>199</v>
      </c>
      <c r="AI207" s="27">
        <f t="shared" si="27"/>
        <v>-6.2230152778611421E-62</v>
      </c>
      <c r="AJ207" s="27">
        <f t="shared" si="28"/>
        <v>8.2000000000000003E-2</v>
      </c>
      <c r="AK207" s="28">
        <f t="shared" si="29"/>
        <v>48.387096774193552</v>
      </c>
      <c r="AL207" s="21"/>
    </row>
    <row r="208" spans="33:38" x14ac:dyDescent="0.55000000000000004">
      <c r="AG208" s="20"/>
      <c r="AH208" s="26">
        <v>200</v>
      </c>
      <c r="AI208" s="27">
        <f t="shared" si="27"/>
        <v>3.111507638930571E-62</v>
      </c>
      <c r="AJ208" s="27">
        <f t="shared" si="28"/>
        <v>8.2000000000000003E-2</v>
      </c>
      <c r="AK208" s="28">
        <f t="shared" si="29"/>
        <v>48.387096774193552</v>
      </c>
      <c r="AL208" s="21"/>
    </row>
    <row r="209" spans="33:38" x14ac:dyDescent="0.55000000000000004">
      <c r="AG209" s="22"/>
      <c r="AH209" s="29"/>
      <c r="AI209" s="29"/>
      <c r="AJ209" s="29"/>
      <c r="AK209" s="29"/>
      <c r="AL209" s="23"/>
    </row>
  </sheetData>
  <mergeCells count="13">
    <mergeCell ref="AH5:AI5"/>
    <mergeCell ref="G18:H18"/>
    <mergeCell ref="I15:J15"/>
    <mergeCell ref="F15:H15"/>
    <mergeCell ref="A1:K1"/>
    <mergeCell ref="E3:J5"/>
    <mergeCell ref="F13:H13"/>
    <mergeCell ref="F14:H14"/>
    <mergeCell ref="I13:J13"/>
    <mergeCell ref="F12:J12"/>
    <mergeCell ref="I14:J14"/>
    <mergeCell ref="I16:J16"/>
    <mergeCell ref="F16:H16"/>
  </mergeCells>
  <conditionalFormatting sqref="A6">
    <cfRule type="expression" dxfId="0" priority="9">
      <formula>$A$6=""</formula>
    </cfRule>
  </conditionalFormatting>
  <dataValidations count="12">
    <dataValidation type="custom" allowBlank="1" showInputMessage="1" showErrorMessage="1" error="Expected market return must be higher than the risk-free rate. Otherwise there will be armageddon! Also, please keep the expected market return below 20%." sqref="C6">
      <formula1>AND(C6&gt;C5,C6&lt;=0.2)</formula1>
    </dataValidation>
    <dataValidation type="list" allowBlank="1" showInputMessage="1" showErrorMessage="1" sqref="I15">
      <formula1>"Overreaction,Underreaction"</formula1>
    </dataValidation>
    <dataValidation type="decimal" allowBlank="1" showInputMessage="1" showErrorMessage="1" error="Adjustemnt speed must be between 0 and 1. 0 means that the equibrium is never reached. 1 means that the equilibrium is reached immediately." sqref="I14">
      <formula1>0</formula1>
      <formula2>1</formula2>
    </dataValidation>
    <dataValidation type="decimal" allowBlank="1" showInputMessage="1" showErrorMessage="1" error="alpha is restricted to be between -5% and +5% in this simulation. " sqref="I13">
      <formula1>-0.05</formula1>
      <formula2>0.05</formula2>
    </dataValidation>
    <dataValidation type="decimal" allowBlank="1" showInputMessage="1" showErrorMessage="1" error="While betas can be anywhere between -infinity and +infinity, for this worksheet, please limit them to between +0.5 and +1.5. Thank you." sqref="B8">
      <formula1>0.5</formula1>
      <formula2>1.5</formula2>
    </dataValidation>
    <dataValidation type="decimal" allowBlank="1" showInputMessage="1" showErrorMessage="1" error="Please keep the annual cash flow from the security between $0.50 and $5.00. " sqref="E8">
      <formula1>0.5</formula1>
      <formula2>5</formula2>
    </dataValidation>
    <dataValidation type="decimal" allowBlank="1" showInputMessage="1" showErrorMessage="1" error="Please enter a number between 0% and 10% for risk-free rate." sqref="C4">
      <formula1>0</formula1>
      <formula2>0.1</formula2>
    </dataValidation>
    <dataValidation type="decimal" allowBlank="1" showInputMessage="1" showErrorMessage="1" error="Please enter a number smaller than the discount rate (in cell C8)." sqref="F8">
      <formula1>0</formula1>
      <formula2>$C$8-0.01</formula2>
    </dataValidation>
    <dataValidation type="decimal" allowBlank="1" showInputMessage="1" showErrorMessage="1" error="Expected market return must be higher than the risk-free rate. Otherwise there will be armageddon! Also, please keep the expected market return below 20%." sqref="C5">
      <formula1>C4</formula1>
      <formula2>0.2</formula2>
    </dataValidation>
    <dataValidation type="list" allowBlank="1" showInputMessage="1" showErrorMessage="1" sqref="B5">
      <formula1>"1"</formula1>
    </dataValidation>
    <dataValidation type="list" allowBlank="1" showInputMessage="1" showErrorMessage="1" sqref="B4">
      <formula1>"0"</formula1>
    </dataValidation>
    <dataValidation type="whole" allowBlank="1" showInputMessage="1" showErrorMessage="1" sqref="I16">
      <formula1>10</formula1>
      <formula2>200</formula2>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imulate">
                <anchor moveWithCells="1" sizeWithCells="1">
                  <from>
                    <xdr:col>5</xdr:col>
                    <xdr:colOff>57150</xdr:colOff>
                    <xdr:row>18</xdr:row>
                    <xdr:rowOff>163830</xdr:rowOff>
                  </from>
                  <to>
                    <xdr:col>10</xdr:col>
                    <xdr:colOff>49530</xdr:colOff>
                    <xdr:row>22</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SML</vt:lpstr>
      <vt:lpstr>Simulation</vt:lpstr>
      <vt:lpstr>NIterations</vt:lpstr>
      <vt:lpstr>PriceMinusValue</vt:lpstr>
      <vt:lpstr>StepNumber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Khalifa</dc:creator>
  <cp:lastModifiedBy>Mohamed</cp:lastModifiedBy>
  <dcterms:created xsi:type="dcterms:W3CDTF">2006-09-16T00:00:00Z</dcterms:created>
  <dcterms:modified xsi:type="dcterms:W3CDTF">2016-12-24T20:39:15Z</dcterms:modified>
</cp:coreProperties>
</file>
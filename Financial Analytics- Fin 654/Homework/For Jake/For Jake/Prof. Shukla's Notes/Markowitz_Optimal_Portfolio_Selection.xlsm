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E:\MBA\January 2017\Finance\Prof. Shukla's Notes\"/>
    </mc:Choice>
  </mc:AlternateContent>
  <bookViews>
    <workbookView xWindow="0" yWindow="0" windowWidth="23040" windowHeight="8808"/>
  </bookViews>
  <sheets>
    <sheet name="Introduction" sheetId="22" r:id="rId1"/>
    <sheet name="Data" sheetId="24" r:id="rId2"/>
    <sheet name="Models" sheetId="21" r:id="rId3"/>
    <sheet name="Chart1" sheetId="25" r:id="rId4"/>
  </sheets>
  <definedNames>
    <definedName name="__123Graph_A1" localSheetId="0" hidden="1">#REF!</definedName>
    <definedName name="__123Graph_LBL_A" localSheetId="0" hidden="1">#REF!</definedName>
    <definedName name="A">Data!$B$3</definedName>
    <definedName name="AllWts_P0">Models!$C$16:$C$35</definedName>
    <definedName name="AllWts_P0A">Models!$G$16:$G$35</definedName>
    <definedName name="AllWts_P1">Models!$K$16:$K$35</definedName>
    <definedName name="AllWts_P2">Models!$O$16:$O$35</definedName>
    <definedName name="AllWts_P3">Models!$S$16:$S$35</definedName>
    <definedName name="AllWts_P4">Models!$W$16:$W$35</definedName>
    <definedName name="AvgCorr">Data!$B$5</definedName>
    <definedName name="ConstrainWeights">Data!$AA$5</definedName>
    <definedName name="Cov">OFFSET(Data!$CL$8,1,0,NStocks,NStocks)</definedName>
    <definedName name="Ell">OFFSET(Data!$DJ$8,1,0,NStocks,1)</definedName>
    <definedName name="ER_P0">Models!$C$38</definedName>
    <definedName name="ER_P0A">Models!$G$38</definedName>
    <definedName name="ER_P1">Models!$K$38</definedName>
    <definedName name="ER_P2">Models!$O$38</definedName>
    <definedName name="ER_P2_Max">Models!$O$13</definedName>
    <definedName name="ER_P2_Min">Models!$N$13</definedName>
    <definedName name="ER_P3">Models!$S$38</definedName>
    <definedName name="ER_P4">Models!$W$38</definedName>
    <definedName name="EU_P0">Models!$C$40</definedName>
    <definedName name="EU_P0A">Models!$G$40</definedName>
    <definedName name="EU_P1">Models!$K$40</definedName>
    <definedName name="EU_P2">Models!$O$40</definedName>
    <definedName name="EU_P3">Models!$S$40</definedName>
    <definedName name="EU_P4">Models!$W$40</definedName>
    <definedName name="ExpRet">OFFSET(Data!$C$8,1,0,NStocks,1)</definedName>
    <definedName name="MaxWtsColumnTitle">Models!$AH$14</definedName>
    <definedName name="MinWtsColumnTitle">Models!$AG$14</definedName>
    <definedName name="NStocks">Data!$B$2</definedName>
    <definedName name="PoL_P0">Models!$C$41</definedName>
    <definedName name="PoL_P0A">Models!$G$41</definedName>
    <definedName name="PoL_P1">Models!$K$41</definedName>
    <definedName name="PoL_P2">Models!$O$41</definedName>
    <definedName name="PoL_P3">Models!$S$41</definedName>
    <definedName name="PoL_P4">Models!$W$41</definedName>
    <definedName name="rf">Data!$B$4</definedName>
    <definedName name="sigma">OFFSET(Data!$D$8,1,0,NStocks,1)</definedName>
    <definedName name="sigma_Full">Data!$D$9:$D$28</definedName>
    <definedName name="sigma_P0">Models!$C$39</definedName>
    <definedName name="sigma_P0A">Models!$G$39</definedName>
    <definedName name="sigma_P1">Models!$K$39</definedName>
    <definedName name="sigma_P2">Models!$O$39</definedName>
    <definedName name="sigma_P3">Models!$S$39</definedName>
    <definedName name="sigma_P3_Max">Models!$S$13</definedName>
    <definedName name="sigma_P3_Min">Models!$R$13</definedName>
    <definedName name="sigma_P4">Models!$W$39</definedName>
    <definedName name="Slope_P0">Models!$C$42</definedName>
    <definedName name="Slope_P0A">Models!$G$42</definedName>
    <definedName name="Slope_P1">Models!$K$42</definedName>
    <definedName name="Slope_P2">Models!$O$42</definedName>
    <definedName name="Slope_P3">Models!$S$42</definedName>
    <definedName name="Slope_P4">Models!$W$42</definedName>
    <definedName name="solver_adj" localSheetId="2" hidden="1">Models!$W$16:$W$25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0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Data!#REF!</definedName>
    <definedName name="solver_lhs1" localSheetId="2" hidden="1">Models!$W$37</definedName>
    <definedName name="solver_lhs2" localSheetId="1" hidden="1">Data!#REF!</definedName>
    <definedName name="solver_lhs2" localSheetId="2" hidden="1">Models!$S$39</definedName>
    <definedName name="solver_lhs3" localSheetId="1" hidden="1">Data!#REF!</definedName>
    <definedName name="solver_lhs3" localSheetId="2" hidden="1">Models!$S$16:$S$25</definedName>
    <definedName name="solver_lhs4" localSheetId="1" hidden="1">Data!#REF!</definedName>
    <definedName name="solver_lhs4" localSheetId="2" hidden="1">Models!$S$16:$S$25</definedName>
    <definedName name="solver_lhs5" localSheetId="1" hidden="1">Data!#REF!</definedName>
    <definedName name="solver_lhs5" localSheetId="2" hidden="1">Models!$S$37</definedName>
    <definedName name="solver_lin" localSheetId="1" hidden="1">2</definedName>
    <definedName name="solver_lin" localSheetId="2" hidden="1">2</definedName>
    <definedName name="solver_neg" localSheetId="1" hidden="1">1</definedName>
    <definedName name="solver_neg" localSheetId="0" hidden="1">1</definedName>
    <definedName name="solver_neg" localSheetId="2" hidden="1">2</definedName>
    <definedName name="solver_num" localSheetId="1" hidden="1">0</definedName>
    <definedName name="solver_num" localSheetId="0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2" hidden="1">Models!$W$42</definedName>
    <definedName name="solver_pre" localSheetId="1" hidden="1">0.000001</definedName>
    <definedName name="solver_pre" localSheetId="2" hidden="1">0.000001</definedName>
    <definedName name="solver_rel1" localSheetId="1" hidden="1">1</definedName>
    <definedName name="solver_rel1" localSheetId="2" hidden="1">2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2</definedName>
    <definedName name="solver_rel5" localSheetId="2" hidden="1">2</definedName>
    <definedName name="solver_rhs1" localSheetId="1" hidden="1">[0]!ER_P2_Max</definedName>
    <definedName name="solver_rhs1" localSheetId="2" hidden="1">1</definedName>
    <definedName name="solver_rhs2" localSheetId="1" hidden="1">[0]!ER_P2_Min</definedName>
    <definedName name="solver_rhs2" localSheetId="2" hidden="1">sigma_P3_Min</definedName>
    <definedName name="solver_rhs3" localSheetId="1" hidden="1">[0]!Wts_Max</definedName>
    <definedName name="solver_rhs3" localSheetId="2" hidden="1">Models!AH16:AH25</definedName>
    <definedName name="solver_rhs4" localSheetId="1" hidden="1">[0]!Wts_Min</definedName>
    <definedName name="solver_rhs4" localSheetId="2" hidden="1">Models!AG16:AG25</definedName>
    <definedName name="solver_rhs5" localSheetId="1" hidden="1">1</definedName>
    <definedName name="solver_rhs5" localSheetId="2" hidden="1">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1</definedName>
    <definedName name="solver_typ" localSheetId="0" hidden="1">1</definedName>
    <definedName name="solver_typ" localSheetId="2" hidden="1">1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  <definedName name="StocksTitle">Models!$AF$15</definedName>
    <definedName name="StocksTitleRow">Models!$AF$14</definedName>
    <definedName name="SumWts_P0">Models!$C$37</definedName>
    <definedName name="SumWts_P0A">Models!$G$37</definedName>
    <definedName name="SumWts_P1">Models!$K$37</definedName>
    <definedName name="SumWts_P2">Models!$O$37</definedName>
    <definedName name="SumWts_P3">Models!$S$37</definedName>
    <definedName name="SumWts_P4">Models!$W$37</definedName>
    <definedName name="Wts_Max">OFFSET(Models!$W$16,1,0,NStocks,1)</definedName>
    <definedName name="Wts_Min">OFFSET(Models!$U$16,1,0,NStocks,1)</definedName>
    <definedName name="Wts_P0">OFFSET(Models!$C$15,1,0,NStocks,1)</definedName>
    <definedName name="Wts_P0A">OFFSET(Models!$G$15,1,0,NStocks,1)</definedName>
    <definedName name="Wts_P1">OFFSET(Models!$K$15,1,0,NStocks,1)</definedName>
    <definedName name="Wts_P2">OFFSET(Models!$O$15,1,0,NStocks,1)</definedName>
    <definedName name="Wts_P3">OFFSET(Models!$S$15,1,0,NStocks,1)</definedName>
    <definedName name="Wts_P4">OFFSET(Models!$W$15,1,0,NStocks,1)</definedName>
  </definedNames>
  <calcPr calcId="171027"/>
</workbook>
</file>

<file path=xl/calcChain.xml><?xml version="1.0" encoding="utf-8"?>
<calcChain xmlns="http://schemas.openxmlformats.org/spreadsheetml/2006/main">
  <c r="AG17" i="21" l="1"/>
  <c r="AH17" i="21"/>
  <c r="AG18" i="21"/>
  <c r="AH18" i="21"/>
  <c r="AG19" i="21"/>
  <c r="AH19" i="21"/>
  <c r="AG20" i="21"/>
  <c r="AH20" i="21"/>
  <c r="AG21" i="21"/>
  <c r="AH21" i="21"/>
  <c r="AG22" i="21"/>
  <c r="AH22" i="21"/>
  <c r="AG23" i="21"/>
  <c r="AH23" i="21"/>
  <c r="AG24" i="21"/>
  <c r="AH24" i="21"/>
  <c r="AG25" i="21"/>
  <c r="AH25" i="21"/>
  <c r="AG26" i="21"/>
  <c r="AH26" i="21"/>
  <c r="AG27" i="21"/>
  <c r="AH27" i="21"/>
  <c r="AG28" i="21"/>
  <c r="AH28" i="21"/>
  <c r="AG29" i="21"/>
  <c r="AH29" i="21"/>
  <c r="AG30" i="21"/>
  <c r="AH30" i="21"/>
  <c r="AG31" i="21"/>
  <c r="AH31" i="21"/>
  <c r="AG32" i="21"/>
  <c r="AH32" i="21"/>
  <c r="AG33" i="21"/>
  <c r="AH33" i="21"/>
  <c r="AG34" i="21"/>
  <c r="AH34" i="21"/>
  <c r="AG35" i="21"/>
  <c r="AH35" i="21"/>
  <c r="AH16" i="21"/>
  <c r="AG16" i="21"/>
  <c r="AH14" i="21"/>
  <c r="AG14" i="21"/>
  <c r="AF14" i="21"/>
  <c r="V35" i="21" l="1"/>
  <c r="V34" i="21"/>
  <c r="V33" i="21"/>
  <c r="V32" i="21"/>
  <c r="V31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16" i="21"/>
  <c r="G38" i="21" l="1" a="1"/>
  <c r="G38" i="21" s="1"/>
  <c r="G37" i="21"/>
  <c r="W53" i="21"/>
  <c r="T13" i="21"/>
  <c r="C37" i="21" l="1"/>
  <c r="C38" i="21" a="1"/>
  <c r="C38" i="21" s="1"/>
  <c r="DJ4" i="24" s="1"/>
  <c r="P13" i="21"/>
  <c r="W38" i="21" l="1" a="1"/>
  <c r="W38" i="21" s="1"/>
  <c r="W54" i="21" s="1"/>
  <c r="W37" i="21"/>
  <c r="S38" i="21" a="1"/>
  <c r="S38" i="21" s="1"/>
  <c r="S37" i="21"/>
  <c r="K38" i="21" a="1"/>
  <c r="K38" i="21" s="1"/>
  <c r="K37" i="21"/>
  <c r="O38" i="21" l="1" a="1"/>
  <c r="O38" i="21" s="1"/>
  <c r="DJ3" i="24" s="1"/>
  <c r="Y8" i="24"/>
  <c r="CK8" i="24" s="1"/>
  <c r="X8" i="24"/>
  <c r="X28" i="24" s="1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H12" i="24" s="1"/>
  <c r="G8" i="24"/>
  <c r="F8" i="24"/>
  <c r="F12" i="24" s="1"/>
  <c r="CK10" i="24" l="1"/>
  <c r="DE10" i="24" s="1"/>
  <c r="CK12" i="24"/>
  <c r="DE12" i="24" s="1"/>
  <c r="CK14" i="24"/>
  <c r="DE14" i="24" s="1"/>
  <c r="CK16" i="24"/>
  <c r="DE16" i="24" s="1"/>
  <c r="CK18" i="24"/>
  <c r="DE18" i="24" s="1"/>
  <c r="CK20" i="24"/>
  <c r="DE20" i="24" s="1"/>
  <c r="CK22" i="24"/>
  <c r="DE22" i="24" s="1"/>
  <c r="CK24" i="24"/>
  <c r="DE24" i="24" s="1"/>
  <c r="CK26" i="24"/>
  <c r="DE26" i="24" s="1"/>
  <c r="CK28" i="24"/>
  <c r="DE28" i="24" s="1"/>
  <c r="CK9" i="24"/>
  <c r="DE9" i="24" s="1"/>
  <c r="CK11" i="24"/>
  <c r="DE11" i="24" s="1"/>
  <c r="CK13" i="24"/>
  <c r="DE13" i="24" s="1"/>
  <c r="CK15" i="24"/>
  <c r="DE15" i="24" s="1"/>
  <c r="CK17" i="24"/>
  <c r="DE17" i="24" s="1"/>
  <c r="CK19" i="24"/>
  <c r="DE19" i="24" s="1"/>
  <c r="CK21" i="24"/>
  <c r="DE21" i="24" s="1"/>
  <c r="CK23" i="24"/>
  <c r="DE23" i="24" s="1"/>
  <c r="CK25" i="24"/>
  <c r="DE25" i="24" s="1"/>
  <c r="CK27" i="24"/>
  <c r="DE27" i="24" s="1"/>
  <c r="DE8" i="24"/>
  <c r="G28" i="24"/>
  <c r="G27" i="24"/>
  <c r="G24" i="24"/>
  <c r="G23" i="24"/>
  <c r="G20" i="24"/>
  <c r="G19" i="24"/>
  <c r="G16" i="24"/>
  <c r="G15" i="24"/>
  <c r="G26" i="24"/>
  <c r="G25" i="24"/>
  <c r="G22" i="24"/>
  <c r="G21" i="24"/>
  <c r="G18" i="24"/>
  <c r="G17" i="24"/>
  <c r="G14" i="24"/>
  <c r="G13" i="24"/>
  <c r="I28" i="24"/>
  <c r="I27" i="24"/>
  <c r="I24" i="24"/>
  <c r="I23" i="24"/>
  <c r="I20" i="24"/>
  <c r="I19" i="24"/>
  <c r="I16" i="24"/>
  <c r="I15" i="24"/>
  <c r="I26" i="24"/>
  <c r="I25" i="24"/>
  <c r="I22" i="24"/>
  <c r="I21" i="24"/>
  <c r="I18" i="24"/>
  <c r="I17" i="24"/>
  <c r="I14" i="24"/>
  <c r="I13" i="24"/>
  <c r="K28" i="24"/>
  <c r="K27" i="24"/>
  <c r="K24" i="24"/>
  <c r="K23" i="24"/>
  <c r="K20" i="24"/>
  <c r="K19" i="24"/>
  <c r="K16" i="24"/>
  <c r="K15" i="24"/>
  <c r="K26" i="24"/>
  <c r="K25" i="24"/>
  <c r="K22" i="24"/>
  <c r="K21" i="24"/>
  <c r="K18" i="24"/>
  <c r="K17" i="24"/>
  <c r="M28" i="24"/>
  <c r="M27" i="24"/>
  <c r="M24" i="24"/>
  <c r="M23" i="24"/>
  <c r="M20" i="24"/>
  <c r="M19" i="24"/>
  <c r="M26" i="24"/>
  <c r="M25" i="24"/>
  <c r="M22" i="24"/>
  <c r="M21" i="24"/>
  <c r="M18" i="24"/>
  <c r="M17" i="24"/>
  <c r="O28" i="24"/>
  <c r="O27" i="24"/>
  <c r="O24" i="24"/>
  <c r="O23" i="24"/>
  <c r="O20" i="24"/>
  <c r="O19" i="24"/>
  <c r="O26" i="24"/>
  <c r="O25" i="24"/>
  <c r="O22" i="24"/>
  <c r="O21" i="24"/>
  <c r="Q28" i="24"/>
  <c r="Q27" i="24"/>
  <c r="Q24" i="24"/>
  <c r="Q23" i="24"/>
  <c r="Q26" i="24"/>
  <c r="Q25" i="24"/>
  <c r="Q22" i="24"/>
  <c r="Q21" i="24"/>
  <c r="S28" i="24"/>
  <c r="S27" i="24"/>
  <c r="S24" i="24"/>
  <c r="S23" i="24"/>
  <c r="S26" i="24"/>
  <c r="S25" i="24"/>
  <c r="U28" i="24"/>
  <c r="U27" i="24"/>
  <c r="U26" i="24"/>
  <c r="U25" i="24"/>
  <c r="W28" i="24"/>
  <c r="W27" i="24"/>
  <c r="BS8" i="24"/>
  <c r="BU8" i="24"/>
  <c r="BW8" i="24"/>
  <c r="BY8" i="24"/>
  <c r="CA8" i="24"/>
  <c r="CC8" i="24"/>
  <c r="CE8" i="24"/>
  <c r="CG8" i="24"/>
  <c r="CI8" i="24"/>
  <c r="F11" i="24"/>
  <c r="F26" i="24"/>
  <c r="F25" i="24"/>
  <c r="F22" i="24"/>
  <c r="F21" i="24"/>
  <c r="F18" i="24"/>
  <c r="F17" i="24"/>
  <c r="F14" i="24"/>
  <c r="F13" i="24"/>
  <c r="F28" i="24"/>
  <c r="F27" i="24"/>
  <c r="F24" i="24"/>
  <c r="F23" i="24"/>
  <c r="F20" i="24"/>
  <c r="F19" i="24"/>
  <c r="F16" i="24"/>
  <c r="F15" i="24"/>
  <c r="H26" i="24"/>
  <c r="H25" i="24"/>
  <c r="H22" i="24"/>
  <c r="H21" i="24"/>
  <c r="H18" i="24"/>
  <c r="H17" i="24"/>
  <c r="H14" i="24"/>
  <c r="H13" i="24"/>
  <c r="H28" i="24"/>
  <c r="H27" i="24"/>
  <c r="H24" i="24"/>
  <c r="H23" i="24"/>
  <c r="H20" i="24"/>
  <c r="H19" i="24"/>
  <c r="H16" i="24"/>
  <c r="H15" i="24"/>
  <c r="J26" i="24"/>
  <c r="J25" i="24"/>
  <c r="J22" i="24"/>
  <c r="J21" i="24"/>
  <c r="J18" i="24"/>
  <c r="J17" i="24"/>
  <c r="J14" i="24"/>
  <c r="J28" i="24"/>
  <c r="J27" i="24"/>
  <c r="J24" i="24"/>
  <c r="J23" i="24"/>
  <c r="J20" i="24"/>
  <c r="J19" i="24"/>
  <c r="J16" i="24"/>
  <c r="J15" i="24"/>
  <c r="L26" i="24"/>
  <c r="L25" i="24"/>
  <c r="L22" i="24"/>
  <c r="L21" i="24"/>
  <c r="L18" i="24"/>
  <c r="L17" i="24"/>
  <c r="L28" i="24"/>
  <c r="L27" i="24"/>
  <c r="L24" i="24"/>
  <c r="L23" i="24"/>
  <c r="L20" i="24"/>
  <c r="L19" i="24"/>
  <c r="L16" i="24"/>
  <c r="N26" i="24"/>
  <c r="N25" i="24"/>
  <c r="N22" i="24"/>
  <c r="N21" i="24"/>
  <c r="N18" i="24"/>
  <c r="N28" i="24"/>
  <c r="N27" i="24"/>
  <c r="N24" i="24"/>
  <c r="N23" i="24"/>
  <c r="N20" i="24"/>
  <c r="N19" i="24"/>
  <c r="P26" i="24"/>
  <c r="P25" i="24"/>
  <c r="P22" i="24"/>
  <c r="P21" i="24"/>
  <c r="P28" i="24"/>
  <c r="P27" i="24"/>
  <c r="P24" i="24"/>
  <c r="P23" i="24"/>
  <c r="P20" i="24"/>
  <c r="R26" i="24"/>
  <c r="R25" i="24"/>
  <c r="R22" i="24"/>
  <c r="R28" i="24"/>
  <c r="R27" i="24"/>
  <c r="R24" i="24"/>
  <c r="R23" i="24"/>
  <c r="T26" i="24"/>
  <c r="T25" i="24"/>
  <c r="T28" i="24"/>
  <c r="T27" i="24"/>
  <c r="T24" i="24"/>
  <c r="V26" i="24"/>
  <c r="V28" i="24"/>
  <c r="V27" i="24"/>
  <c r="BR8" i="24"/>
  <c r="BT8" i="24"/>
  <c r="BV8" i="24"/>
  <c r="BX8" i="24"/>
  <c r="BZ8" i="24"/>
  <c r="CB8" i="24"/>
  <c r="CD8" i="24"/>
  <c r="CF8" i="24"/>
  <c r="CH8" i="24"/>
  <c r="CJ8" i="24"/>
  <c r="F10" i="24"/>
  <c r="G11" i="24"/>
  <c r="G12" i="24"/>
  <c r="O37" i="21"/>
  <c r="CJ9" i="24" l="1"/>
  <c r="DD9" i="24" s="1"/>
  <c r="CJ11" i="24"/>
  <c r="DD11" i="24" s="1"/>
  <c r="CJ13" i="24"/>
  <c r="DD13" i="24" s="1"/>
  <c r="CJ15" i="24"/>
  <c r="DD15" i="24" s="1"/>
  <c r="CJ17" i="24"/>
  <c r="DD17" i="24" s="1"/>
  <c r="CJ19" i="24"/>
  <c r="DD19" i="24" s="1"/>
  <c r="CJ21" i="24"/>
  <c r="DD21" i="24" s="1"/>
  <c r="CJ23" i="24"/>
  <c r="DD23" i="24" s="1"/>
  <c r="CJ25" i="24"/>
  <c r="DD25" i="24" s="1"/>
  <c r="CJ27" i="24"/>
  <c r="DD27" i="24" s="1"/>
  <c r="CJ10" i="24"/>
  <c r="DD10" i="24" s="1"/>
  <c r="CJ12" i="24"/>
  <c r="DD12" i="24" s="1"/>
  <c r="CJ14" i="24"/>
  <c r="DD14" i="24" s="1"/>
  <c r="CJ16" i="24"/>
  <c r="DD16" i="24" s="1"/>
  <c r="CJ18" i="24"/>
  <c r="DD18" i="24" s="1"/>
  <c r="CJ20" i="24"/>
  <c r="DD20" i="24" s="1"/>
  <c r="CJ22" i="24"/>
  <c r="DD22" i="24" s="1"/>
  <c r="CJ24" i="24"/>
  <c r="DD24" i="24" s="1"/>
  <c r="CJ26" i="24"/>
  <c r="DD26" i="24" s="1"/>
  <c r="CJ28" i="24"/>
  <c r="DD28" i="24" s="1"/>
  <c r="CF9" i="24"/>
  <c r="CZ9" i="24" s="1"/>
  <c r="CF11" i="24"/>
  <c r="CZ11" i="24" s="1"/>
  <c r="CF13" i="24"/>
  <c r="CZ13" i="24" s="1"/>
  <c r="CF15" i="24"/>
  <c r="CZ15" i="24" s="1"/>
  <c r="CF17" i="24"/>
  <c r="CZ17" i="24" s="1"/>
  <c r="CF19" i="24"/>
  <c r="CZ19" i="24" s="1"/>
  <c r="CF21" i="24"/>
  <c r="CZ21" i="24" s="1"/>
  <c r="CF23" i="24"/>
  <c r="CZ23" i="24" s="1"/>
  <c r="CF25" i="24"/>
  <c r="CZ25" i="24" s="1"/>
  <c r="CF27" i="24"/>
  <c r="CZ27" i="24" s="1"/>
  <c r="CF10" i="24"/>
  <c r="CZ10" i="24" s="1"/>
  <c r="CF12" i="24"/>
  <c r="CZ12" i="24" s="1"/>
  <c r="CF14" i="24"/>
  <c r="CZ14" i="24" s="1"/>
  <c r="CF16" i="24"/>
  <c r="CZ16" i="24" s="1"/>
  <c r="CF18" i="24"/>
  <c r="CZ18" i="24" s="1"/>
  <c r="CF20" i="24"/>
  <c r="CZ20" i="24" s="1"/>
  <c r="CF22" i="24"/>
  <c r="CZ22" i="24" s="1"/>
  <c r="CF24" i="24"/>
  <c r="CZ24" i="24" s="1"/>
  <c r="CF26" i="24"/>
  <c r="CZ26" i="24" s="1"/>
  <c r="CF28" i="24"/>
  <c r="CZ28" i="24" s="1"/>
  <c r="CB9" i="24"/>
  <c r="CV9" i="24" s="1"/>
  <c r="CB11" i="24"/>
  <c r="CV11" i="24" s="1"/>
  <c r="CB13" i="24"/>
  <c r="CV13" i="24" s="1"/>
  <c r="CB15" i="24"/>
  <c r="CV15" i="24" s="1"/>
  <c r="CB17" i="24"/>
  <c r="CV17" i="24" s="1"/>
  <c r="CB19" i="24"/>
  <c r="CV19" i="24" s="1"/>
  <c r="CB21" i="24"/>
  <c r="CV21" i="24" s="1"/>
  <c r="CB23" i="24"/>
  <c r="CV23" i="24" s="1"/>
  <c r="CB25" i="24"/>
  <c r="CV25" i="24" s="1"/>
  <c r="CB27" i="24"/>
  <c r="CV27" i="24" s="1"/>
  <c r="CB10" i="24"/>
  <c r="CV10" i="24" s="1"/>
  <c r="CB12" i="24"/>
  <c r="CV12" i="24" s="1"/>
  <c r="CB14" i="24"/>
  <c r="CV14" i="24" s="1"/>
  <c r="CB16" i="24"/>
  <c r="CV16" i="24" s="1"/>
  <c r="CB18" i="24"/>
  <c r="CV18" i="24" s="1"/>
  <c r="CB20" i="24"/>
  <c r="CV20" i="24" s="1"/>
  <c r="CB22" i="24"/>
  <c r="CV22" i="24" s="1"/>
  <c r="CB24" i="24"/>
  <c r="CV24" i="24" s="1"/>
  <c r="CB26" i="24"/>
  <c r="CV26" i="24" s="1"/>
  <c r="CB28" i="24"/>
  <c r="CV28" i="24" s="1"/>
  <c r="BX9" i="24"/>
  <c r="CR9" i="24" s="1"/>
  <c r="BX11" i="24"/>
  <c r="CR11" i="24" s="1"/>
  <c r="BX13" i="24"/>
  <c r="CR13" i="24" s="1"/>
  <c r="BX15" i="24"/>
  <c r="CR15" i="24" s="1"/>
  <c r="BX17" i="24"/>
  <c r="CR17" i="24" s="1"/>
  <c r="BX19" i="24"/>
  <c r="CR19" i="24" s="1"/>
  <c r="BX21" i="24"/>
  <c r="CR21" i="24" s="1"/>
  <c r="BX23" i="24"/>
  <c r="CR23" i="24" s="1"/>
  <c r="BX25" i="24"/>
  <c r="CR25" i="24" s="1"/>
  <c r="BX27" i="24"/>
  <c r="CR27" i="24" s="1"/>
  <c r="BX10" i="24"/>
  <c r="CR10" i="24" s="1"/>
  <c r="BX12" i="24"/>
  <c r="CR12" i="24" s="1"/>
  <c r="BX14" i="24"/>
  <c r="CR14" i="24" s="1"/>
  <c r="BX16" i="24"/>
  <c r="CR16" i="24" s="1"/>
  <c r="BX18" i="24"/>
  <c r="CR18" i="24" s="1"/>
  <c r="BX20" i="24"/>
  <c r="CR20" i="24" s="1"/>
  <c r="BX22" i="24"/>
  <c r="CR22" i="24" s="1"/>
  <c r="BX24" i="24"/>
  <c r="CR24" i="24" s="1"/>
  <c r="BX26" i="24"/>
  <c r="CR26" i="24" s="1"/>
  <c r="BX28" i="24"/>
  <c r="CR28" i="24" s="1"/>
  <c r="BT9" i="24"/>
  <c r="CN9" i="24" s="1"/>
  <c r="BT11" i="24"/>
  <c r="CN11" i="24" s="1"/>
  <c r="BT13" i="24"/>
  <c r="CN13" i="24" s="1"/>
  <c r="BT15" i="24"/>
  <c r="CN15" i="24" s="1"/>
  <c r="BT17" i="24"/>
  <c r="CN17" i="24" s="1"/>
  <c r="BT19" i="24"/>
  <c r="CN19" i="24" s="1"/>
  <c r="BT21" i="24"/>
  <c r="CN21" i="24" s="1"/>
  <c r="BT23" i="24"/>
  <c r="CN23" i="24" s="1"/>
  <c r="BT25" i="24"/>
  <c r="CN25" i="24" s="1"/>
  <c r="BT27" i="24"/>
  <c r="CN27" i="24" s="1"/>
  <c r="BT10" i="24"/>
  <c r="CN10" i="24" s="1"/>
  <c r="BT12" i="24"/>
  <c r="CN12" i="24" s="1"/>
  <c r="BT14" i="24"/>
  <c r="CN14" i="24" s="1"/>
  <c r="BT16" i="24"/>
  <c r="CN16" i="24" s="1"/>
  <c r="BT18" i="24"/>
  <c r="CN18" i="24" s="1"/>
  <c r="BT20" i="24"/>
  <c r="CN20" i="24" s="1"/>
  <c r="BT22" i="24"/>
  <c r="CN22" i="24" s="1"/>
  <c r="BT24" i="24"/>
  <c r="CN24" i="24" s="1"/>
  <c r="BT26" i="24"/>
  <c r="CN26" i="24" s="1"/>
  <c r="BT28" i="24"/>
  <c r="CN28" i="24" s="1"/>
  <c r="CG10" i="24"/>
  <c r="DA10" i="24" s="1"/>
  <c r="CG12" i="24"/>
  <c r="DA12" i="24" s="1"/>
  <c r="CG14" i="24"/>
  <c r="DA14" i="24" s="1"/>
  <c r="CG16" i="24"/>
  <c r="DA16" i="24" s="1"/>
  <c r="CG18" i="24"/>
  <c r="DA18" i="24" s="1"/>
  <c r="CG20" i="24"/>
  <c r="DA20" i="24" s="1"/>
  <c r="CG22" i="24"/>
  <c r="DA22" i="24" s="1"/>
  <c r="CG24" i="24"/>
  <c r="DA24" i="24" s="1"/>
  <c r="CG26" i="24"/>
  <c r="DA26" i="24" s="1"/>
  <c r="CG28" i="24"/>
  <c r="DA28" i="24" s="1"/>
  <c r="CG9" i="24"/>
  <c r="DA9" i="24" s="1"/>
  <c r="CG11" i="24"/>
  <c r="DA11" i="24" s="1"/>
  <c r="CG13" i="24"/>
  <c r="DA13" i="24" s="1"/>
  <c r="CG15" i="24"/>
  <c r="DA15" i="24" s="1"/>
  <c r="CG17" i="24"/>
  <c r="DA17" i="24" s="1"/>
  <c r="CG19" i="24"/>
  <c r="DA19" i="24" s="1"/>
  <c r="CG21" i="24"/>
  <c r="DA21" i="24" s="1"/>
  <c r="CG23" i="24"/>
  <c r="DA23" i="24" s="1"/>
  <c r="CG25" i="24"/>
  <c r="DA25" i="24" s="1"/>
  <c r="CG27" i="24"/>
  <c r="DA27" i="24" s="1"/>
  <c r="CC10" i="24"/>
  <c r="CW10" i="24" s="1"/>
  <c r="CC12" i="24"/>
  <c r="CW12" i="24" s="1"/>
  <c r="CC14" i="24"/>
  <c r="CW14" i="24" s="1"/>
  <c r="CC16" i="24"/>
  <c r="CW16" i="24" s="1"/>
  <c r="CC18" i="24"/>
  <c r="CW18" i="24" s="1"/>
  <c r="CC20" i="24"/>
  <c r="CW20" i="24" s="1"/>
  <c r="CC22" i="24"/>
  <c r="CW22" i="24" s="1"/>
  <c r="CC24" i="24"/>
  <c r="CW24" i="24" s="1"/>
  <c r="CC26" i="24"/>
  <c r="CW26" i="24" s="1"/>
  <c r="CC28" i="24"/>
  <c r="CW28" i="24" s="1"/>
  <c r="CC9" i="24"/>
  <c r="CW9" i="24" s="1"/>
  <c r="CC11" i="24"/>
  <c r="CW11" i="24" s="1"/>
  <c r="CC13" i="24"/>
  <c r="CW13" i="24" s="1"/>
  <c r="CC15" i="24"/>
  <c r="CW15" i="24" s="1"/>
  <c r="CC17" i="24"/>
  <c r="CW17" i="24" s="1"/>
  <c r="CC19" i="24"/>
  <c r="CW19" i="24" s="1"/>
  <c r="CC21" i="24"/>
  <c r="CW21" i="24" s="1"/>
  <c r="CC23" i="24"/>
  <c r="CW23" i="24" s="1"/>
  <c r="CC25" i="24"/>
  <c r="CW25" i="24" s="1"/>
  <c r="CC27" i="24"/>
  <c r="CW27" i="24" s="1"/>
  <c r="BY10" i="24"/>
  <c r="CS10" i="24" s="1"/>
  <c r="BY12" i="24"/>
  <c r="CS12" i="24" s="1"/>
  <c r="BY14" i="24"/>
  <c r="CS14" i="24" s="1"/>
  <c r="BY16" i="24"/>
  <c r="CS16" i="24" s="1"/>
  <c r="BY18" i="24"/>
  <c r="CS18" i="24" s="1"/>
  <c r="BY20" i="24"/>
  <c r="CS20" i="24" s="1"/>
  <c r="BY22" i="24"/>
  <c r="CS22" i="24" s="1"/>
  <c r="BY24" i="24"/>
  <c r="CS24" i="24" s="1"/>
  <c r="BY26" i="24"/>
  <c r="CS26" i="24" s="1"/>
  <c r="BY28" i="24"/>
  <c r="CS28" i="24" s="1"/>
  <c r="BY9" i="24"/>
  <c r="CS9" i="24" s="1"/>
  <c r="BY11" i="24"/>
  <c r="CS11" i="24" s="1"/>
  <c r="BY13" i="24"/>
  <c r="CS13" i="24" s="1"/>
  <c r="BY15" i="24"/>
  <c r="CS15" i="24" s="1"/>
  <c r="BY17" i="24"/>
  <c r="CS17" i="24" s="1"/>
  <c r="BY19" i="24"/>
  <c r="CS19" i="24" s="1"/>
  <c r="BY21" i="24"/>
  <c r="CS21" i="24" s="1"/>
  <c r="BY23" i="24"/>
  <c r="CS23" i="24" s="1"/>
  <c r="BY25" i="24"/>
  <c r="CS25" i="24" s="1"/>
  <c r="BY27" i="24"/>
  <c r="CS27" i="24" s="1"/>
  <c r="BU10" i="24"/>
  <c r="CO10" i="24" s="1"/>
  <c r="BU12" i="24"/>
  <c r="CO12" i="24" s="1"/>
  <c r="BU14" i="24"/>
  <c r="CO14" i="24" s="1"/>
  <c r="BU16" i="24"/>
  <c r="CO16" i="24" s="1"/>
  <c r="BU18" i="24"/>
  <c r="CO18" i="24" s="1"/>
  <c r="BU20" i="24"/>
  <c r="CO20" i="24" s="1"/>
  <c r="BU22" i="24"/>
  <c r="CO22" i="24" s="1"/>
  <c r="BU24" i="24"/>
  <c r="CO24" i="24" s="1"/>
  <c r="BU26" i="24"/>
  <c r="CO26" i="24" s="1"/>
  <c r="BU28" i="24"/>
  <c r="CO28" i="24" s="1"/>
  <c r="BU9" i="24"/>
  <c r="CO9" i="24" s="1"/>
  <c r="BU11" i="24"/>
  <c r="CO11" i="24" s="1"/>
  <c r="BU13" i="24"/>
  <c r="CO13" i="24" s="1"/>
  <c r="BU15" i="24"/>
  <c r="CO15" i="24" s="1"/>
  <c r="BU17" i="24"/>
  <c r="CO17" i="24" s="1"/>
  <c r="BU19" i="24"/>
  <c r="CO19" i="24" s="1"/>
  <c r="BU21" i="24"/>
  <c r="CO21" i="24" s="1"/>
  <c r="BU23" i="24"/>
  <c r="CO23" i="24" s="1"/>
  <c r="BU25" i="24"/>
  <c r="CO25" i="24" s="1"/>
  <c r="BU27" i="24"/>
  <c r="CO27" i="24" s="1"/>
  <c r="CH9" i="24"/>
  <c r="DB9" i="24" s="1"/>
  <c r="CH11" i="24"/>
  <c r="DB11" i="24" s="1"/>
  <c r="CH13" i="24"/>
  <c r="DB13" i="24" s="1"/>
  <c r="CH15" i="24"/>
  <c r="DB15" i="24" s="1"/>
  <c r="CH17" i="24"/>
  <c r="DB17" i="24" s="1"/>
  <c r="CH19" i="24"/>
  <c r="DB19" i="24" s="1"/>
  <c r="CH21" i="24"/>
  <c r="DB21" i="24" s="1"/>
  <c r="CH23" i="24"/>
  <c r="DB23" i="24" s="1"/>
  <c r="CH25" i="24"/>
  <c r="DB25" i="24" s="1"/>
  <c r="CH27" i="24"/>
  <c r="DB27" i="24" s="1"/>
  <c r="CH10" i="24"/>
  <c r="DB10" i="24" s="1"/>
  <c r="CH12" i="24"/>
  <c r="DB12" i="24" s="1"/>
  <c r="CH14" i="24"/>
  <c r="DB14" i="24" s="1"/>
  <c r="CH16" i="24"/>
  <c r="DB16" i="24" s="1"/>
  <c r="CH18" i="24"/>
  <c r="DB18" i="24" s="1"/>
  <c r="CH20" i="24"/>
  <c r="DB20" i="24" s="1"/>
  <c r="CH22" i="24"/>
  <c r="DB22" i="24" s="1"/>
  <c r="CH24" i="24"/>
  <c r="DB24" i="24" s="1"/>
  <c r="CH26" i="24"/>
  <c r="DB26" i="24" s="1"/>
  <c r="CH28" i="24"/>
  <c r="DB28" i="24" s="1"/>
  <c r="CD9" i="24"/>
  <c r="CX9" i="24" s="1"/>
  <c r="CD11" i="24"/>
  <c r="CX11" i="24" s="1"/>
  <c r="CD13" i="24"/>
  <c r="CX13" i="24" s="1"/>
  <c r="CD15" i="24"/>
  <c r="CX15" i="24" s="1"/>
  <c r="CD17" i="24"/>
  <c r="CX17" i="24" s="1"/>
  <c r="CD19" i="24"/>
  <c r="CX19" i="24" s="1"/>
  <c r="CD21" i="24"/>
  <c r="CX21" i="24" s="1"/>
  <c r="CD23" i="24"/>
  <c r="CX23" i="24" s="1"/>
  <c r="CD25" i="24"/>
  <c r="CD27" i="24"/>
  <c r="CX27" i="24" s="1"/>
  <c r="CD10" i="24"/>
  <c r="CX10" i="24" s="1"/>
  <c r="CD12" i="24"/>
  <c r="CX12" i="24" s="1"/>
  <c r="CD14" i="24"/>
  <c r="CX14" i="24" s="1"/>
  <c r="CD16" i="24"/>
  <c r="CX16" i="24" s="1"/>
  <c r="CD18" i="24"/>
  <c r="CX18" i="24" s="1"/>
  <c r="CD20" i="24"/>
  <c r="CX20" i="24" s="1"/>
  <c r="CD22" i="24"/>
  <c r="CX22" i="24" s="1"/>
  <c r="CD24" i="24"/>
  <c r="CX24" i="24" s="1"/>
  <c r="CD26" i="24"/>
  <c r="CX26" i="24" s="1"/>
  <c r="CD28" i="24"/>
  <c r="CX28" i="24" s="1"/>
  <c r="BZ9" i="24"/>
  <c r="CT9" i="24" s="1"/>
  <c r="BZ11" i="24"/>
  <c r="CT11" i="24" s="1"/>
  <c r="BZ13" i="24"/>
  <c r="CT13" i="24" s="1"/>
  <c r="BZ15" i="24"/>
  <c r="CT15" i="24" s="1"/>
  <c r="BZ17" i="24"/>
  <c r="CT17" i="24" s="1"/>
  <c r="BZ19" i="24"/>
  <c r="CT19" i="24" s="1"/>
  <c r="BZ21" i="24"/>
  <c r="CT21" i="24" s="1"/>
  <c r="BZ23" i="24"/>
  <c r="CT23" i="24" s="1"/>
  <c r="BZ25" i="24"/>
  <c r="CT25" i="24" s="1"/>
  <c r="BZ27" i="24"/>
  <c r="CT27" i="24" s="1"/>
  <c r="BZ10" i="24"/>
  <c r="CT10" i="24" s="1"/>
  <c r="BZ12" i="24"/>
  <c r="CT12" i="24" s="1"/>
  <c r="BZ14" i="24"/>
  <c r="CT14" i="24" s="1"/>
  <c r="BZ16" i="24"/>
  <c r="CT16" i="24" s="1"/>
  <c r="BZ18" i="24"/>
  <c r="CT18" i="24" s="1"/>
  <c r="BZ20" i="24"/>
  <c r="CT20" i="24" s="1"/>
  <c r="BZ22" i="24"/>
  <c r="CT22" i="24" s="1"/>
  <c r="BZ24" i="24"/>
  <c r="CT24" i="24" s="1"/>
  <c r="BZ26" i="24"/>
  <c r="CT26" i="24" s="1"/>
  <c r="BZ28" i="24"/>
  <c r="CT28" i="24" s="1"/>
  <c r="BV9" i="24"/>
  <c r="CP9" i="24" s="1"/>
  <c r="BV11" i="24"/>
  <c r="CP11" i="24" s="1"/>
  <c r="BV13" i="24"/>
  <c r="CP13" i="24" s="1"/>
  <c r="BV15" i="24"/>
  <c r="CP15" i="24" s="1"/>
  <c r="BV17" i="24"/>
  <c r="CP17" i="24" s="1"/>
  <c r="BV19" i="24"/>
  <c r="CP19" i="24" s="1"/>
  <c r="BV21" i="24"/>
  <c r="CP21" i="24" s="1"/>
  <c r="BV23" i="24"/>
  <c r="CP23" i="24" s="1"/>
  <c r="BV25" i="24"/>
  <c r="CP25" i="24" s="1"/>
  <c r="BV27" i="24"/>
  <c r="CP27" i="24" s="1"/>
  <c r="BV10" i="24"/>
  <c r="CP10" i="24" s="1"/>
  <c r="BV12" i="24"/>
  <c r="CP12" i="24" s="1"/>
  <c r="BV14" i="24"/>
  <c r="CP14" i="24" s="1"/>
  <c r="BV16" i="24"/>
  <c r="CP16" i="24" s="1"/>
  <c r="BV18" i="24"/>
  <c r="CP18" i="24" s="1"/>
  <c r="BV20" i="24"/>
  <c r="CP20" i="24" s="1"/>
  <c r="BV22" i="24"/>
  <c r="CP22" i="24" s="1"/>
  <c r="BV24" i="24"/>
  <c r="CP24" i="24" s="1"/>
  <c r="BV26" i="24"/>
  <c r="CP26" i="24" s="1"/>
  <c r="BV28" i="24"/>
  <c r="CP28" i="24" s="1"/>
  <c r="CI10" i="24"/>
  <c r="DC10" i="24" s="1"/>
  <c r="CI12" i="24"/>
  <c r="DC12" i="24" s="1"/>
  <c r="CI14" i="24"/>
  <c r="DC14" i="24" s="1"/>
  <c r="CI16" i="24"/>
  <c r="DC16" i="24" s="1"/>
  <c r="CI18" i="24"/>
  <c r="DC18" i="24" s="1"/>
  <c r="CI20" i="24"/>
  <c r="DC20" i="24" s="1"/>
  <c r="CI22" i="24"/>
  <c r="DC22" i="24" s="1"/>
  <c r="CI24" i="24"/>
  <c r="DC24" i="24" s="1"/>
  <c r="CI26" i="24"/>
  <c r="DC26" i="24" s="1"/>
  <c r="CI28" i="24"/>
  <c r="DC28" i="24" s="1"/>
  <c r="CI9" i="24"/>
  <c r="DC9" i="24" s="1"/>
  <c r="CI11" i="24"/>
  <c r="DC11" i="24" s="1"/>
  <c r="CI13" i="24"/>
  <c r="DC13" i="24" s="1"/>
  <c r="CI15" i="24"/>
  <c r="DC15" i="24" s="1"/>
  <c r="CI17" i="24"/>
  <c r="DC17" i="24" s="1"/>
  <c r="CI19" i="24"/>
  <c r="DC19" i="24" s="1"/>
  <c r="CI21" i="24"/>
  <c r="DC21" i="24" s="1"/>
  <c r="CI23" i="24"/>
  <c r="DC23" i="24" s="1"/>
  <c r="CI25" i="24"/>
  <c r="DC25" i="24" s="1"/>
  <c r="CI27" i="24"/>
  <c r="DC27" i="24" s="1"/>
  <c r="CE10" i="24"/>
  <c r="CY10" i="24" s="1"/>
  <c r="CE12" i="24"/>
  <c r="CY12" i="24" s="1"/>
  <c r="CE14" i="24"/>
  <c r="CY14" i="24" s="1"/>
  <c r="CE16" i="24"/>
  <c r="CY16" i="24" s="1"/>
  <c r="CE18" i="24"/>
  <c r="CY18" i="24" s="1"/>
  <c r="CE20" i="24"/>
  <c r="CY20" i="24" s="1"/>
  <c r="CE22" i="24"/>
  <c r="CY22" i="24" s="1"/>
  <c r="CE24" i="24"/>
  <c r="CY24" i="24" s="1"/>
  <c r="CE26" i="24"/>
  <c r="CY26" i="24" s="1"/>
  <c r="CE28" i="24"/>
  <c r="CY28" i="24" s="1"/>
  <c r="CE9" i="24"/>
  <c r="CY9" i="24" s="1"/>
  <c r="CE11" i="24"/>
  <c r="CY11" i="24" s="1"/>
  <c r="CE13" i="24"/>
  <c r="CY13" i="24" s="1"/>
  <c r="CE15" i="24"/>
  <c r="CY15" i="24" s="1"/>
  <c r="CE17" i="24"/>
  <c r="CY17" i="24" s="1"/>
  <c r="CE19" i="24"/>
  <c r="CY19" i="24" s="1"/>
  <c r="CE21" i="24"/>
  <c r="CY21" i="24" s="1"/>
  <c r="CE23" i="24"/>
  <c r="CY23" i="24" s="1"/>
  <c r="CE25" i="24"/>
  <c r="CY25" i="24" s="1"/>
  <c r="CE27" i="24"/>
  <c r="CY27" i="24" s="1"/>
  <c r="CA10" i="24"/>
  <c r="CU10" i="24" s="1"/>
  <c r="CA12" i="24"/>
  <c r="CU12" i="24" s="1"/>
  <c r="CA14" i="24"/>
  <c r="CU14" i="24" s="1"/>
  <c r="CA16" i="24"/>
  <c r="CU16" i="24" s="1"/>
  <c r="CA18" i="24"/>
  <c r="CU18" i="24" s="1"/>
  <c r="CA20" i="24"/>
  <c r="CU20" i="24" s="1"/>
  <c r="CA22" i="24"/>
  <c r="CU22" i="24" s="1"/>
  <c r="CA24" i="24"/>
  <c r="CU24" i="24" s="1"/>
  <c r="CA26" i="24"/>
  <c r="CU26" i="24" s="1"/>
  <c r="CA28" i="24"/>
  <c r="CU28" i="24" s="1"/>
  <c r="CA9" i="24"/>
  <c r="CU9" i="24" s="1"/>
  <c r="CA11" i="24"/>
  <c r="CU11" i="24" s="1"/>
  <c r="CA13" i="24"/>
  <c r="CU13" i="24" s="1"/>
  <c r="CA15" i="24"/>
  <c r="CU15" i="24" s="1"/>
  <c r="CA17" i="24"/>
  <c r="CU17" i="24" s="1"/>
  <c r="CA19" i="24"/>
  <c r="CU19" i="24" s="1"/>
  <c r="CA21" i="24"/>
  <c r="CU21" i="24" s="1"/>
  <c r="CA23" i="24"/>
  <c r="CU23" i="24" s="1"/>
  <c r="CA25" i="24"/>
  <c r="CU25" i="24" s="1"/>
  <c r="CA27" i="24"/>
  <c r="CU27" i="24" s="1"/>
  <c r="BW10" i="24"/>
  <c r="CQ10" i="24" s="1"/>
  <c r="BW12" i="24"/>
  <c r="CQ12" i="24" s="1"/>
  <c r="BW14" i="24"/>
  <c r="CQ14" i="24" s="1"/>
  <c r="BW16" i="24"/>
  <c r="CQ16" i="24" s="1"/>
  <c r="BW18" i="24"/>
  <c r="CQ18" i="24" s="1"/>
  <c r="BW20" i="24"/>
  <c r="CQ20" i="24" s="1"/>
  <c r="BW22" i="24"/>
  <c r="CQ22" i="24" s="1"/>
  <c r="BW24" i="24"/>
  <c r="CQ24" i="24" s="1"/>
  <c r="BW26" i="24"/>
  <c r="CQ26" i="24" s="1"/>
  <c r="BW28" i="24"/>
  <c r="CQ28" i="24" s="1"/>
  <c r="BW9" i="24"/>
  <c r="CQ9" i="24" s="1"/>
  <c r="BW11" i="24"/>
  <c r="CQ11" i="24" s="1"/>
  <c r="BW13" i="24"/>
  <c r="CQ13" i="24" s="1"/>
  <c r="BW15" i="24"/>
  <c r="CQ15" i="24" s="1"/>
  <c r="BW17" i="24"/>
  <c r="CQ17" i="24" s="1"/>
  <c r="BW19" i="24"/>
  <c r="CQ19" i="24" s="1"/>
  <c r="BW21" i="24"/>
  <c r="CQ21" i="24" s="1"/>
  <c r="BW23" i="24"/>
  <c r="CQ23" i="24" s="1"/>
  <c r="BW25" i="24"/>
  <c r="CQ25" i="24" s="1"/>
  <c r="BW27" i="24"/>
  <c r="CQ27" i="24" s="1"/>
  <c r="BS10" i="24"/>
  <c r="CM10" i="24" s="1"/>
  <c r="BS12" i="24"/>
  <c r="CM12" i="24" s="1"/>
  <c r="BS14" i="24"/>
  <c r="CM14" i="24" s="1"/>
  <c r="BS16" i="24"/>
  <c r="CM16" i="24" s="1"/>
  <c r="BS18" i="24"/>
  <c r="CM18" i="24" s="1"/>
  <c r="BS20" i="24"/>
  <c r="CM20" i="24" s="1"/>
  <c r="BS22" i="24"/>
  <c r="CM22" i="24" s="1"/>
  <c r="BS24" i="24"/>
  <c r="CM24" i="24" s="1"/>
  <c r="BS26" i="24"/>
  <c r="CM26" i="24" s="1"/>
  <c r="BS28" i="24"/>
  <c r="CM28" i="24" s="1"/>
  <c r="BS9" i="24"/>
  <c r="CM9" i="24" s="1"/>
  <c r="BS11" i="24"/>
  <c r="CM11" i="24" s="1"/>
  <c r="BS13" i="24"/>
  <c r="CM13" i="24" s="1"/>
  <c r="BS15" i="24"/>
  <c r="CM15" i="24" s="1"/>
  <c r="BS17" i="24"/>
  <c r="CM17" i="24" s="1"/>
  <c r="BS19" i="24"/>
  <c r="CM19" i="24" s="1"/>
  <c r="BS21" i="24"/>
  <c r="CM21" i="24" s="1"/>
  <c r="BS23" i="24"/>
  <c r="CM23" i="24" s="1"/>
  <c r="BS25" i="24"/>
  <c r="CM25" i="24" s="1"/>
  <c r="BS27" i="24"/>
  <c r="CM27" i="24" s="1"/>
  <c r="CX25" i="24"/>
  <c r="BR9" i="24"/>
  <c r="CL9" i="24" s="1"/>
  <c r="BR11" i="24"/>
  <c r="CL11" i="24" s="1"/>
  <c r="BR13" i="24"/>
  <c r="CL13" i="24" s="1"/>
  <c r="BR15" i="24"/>
  <c r="CL15" i="24" s="1"/>
  <c r="BR17" i="24"/>
  <c r="CL17" i="24" s="1"/>
  <c r="BR19" i="24"/>
  <c r="CL19" i="24" s="1"/>
  <c r="BR21" i="24"/>
  <c r="CL21" i="24" s="1"/>
  <c r="BR23" i="24"/>
  <c r="CL23" i="24" s="1"/>
  <c r="BR25" i="24"/>
  <c r="CL25" i="24" s="1"/>
  <c r="BR27" i="24"/>
  <c r="CL27" i="24" s="1"/>
  <c r="BR10" i="24"/>
  <c r="CL10" i="24" s="1"/>
  <c r="BR12" i="24"/>
  <c r="CL12" i="24" s="1"/>
  <c r="BR14" i="24"/>
  <c r="CL14" i="24" s="1"/>
  <c r="BR16" i="24"/>
  <c r="CL16" i="24" s="1"/>
  <c r="BR18" i="24"/>
  <c r="CL18" i="24" s="1"/>
  <c r="BR20" i="24"/>
  <c r="CL20" i="24" s="1"/>
  <c r="BR22" i="24"/>
  <c r="CL22" i="24" s="1"/>
  <c r="BR24" i="24"/>
  <c r="CL24" i="24" s="1"/>
  <c r="BR26" i="24"/>
  <c r="CL26" i="24" s="1"/>
  <c r="BR28" i="24"/>
  <c r="CL28" i="24" s="1"/>
  <c r="DB8" i="24"/>
  <c r="CX8" i="24"/>
  <c r="CT8" i="24"/>
  <c r="CP8" i="24"/>
  <c r="DC8" i="24"/>
  <c r="CY8" i="24"/>
  <c r="CU8" i="24"/>
  <c r="CQ8" i="24"/>
  <c r="CM8" i="24"/>
  <c r="DD8" i="24"/>
  <c r="CZ8" i="24"/>
  <c r="CV8" i="24"/>
  <c r="CR8" i="24"/>
  <c r="CN8" i="24"/>
  <c r="DA8" i="24"/>
  <c r="CW8" i="24"/>
  <c r="CS8" i="24"/>
  <c r="CO8" i="24"/>
  <c r="CL8" i="24"/>
  <c r="G39" i="21" l="1" a="1"/>
  <c r="G39" i="21" s="1"/>
  <c r="G42" i="21" s="1"/>
  <c r="DH4" i="24" a="1"/>
  <c r="DH4" i="24" s="1"/>
  <c r="DH5" i="24" a="1"/>
  <c r="DH5" i="24" s="1"/>
  <c r="DH3" i="24" a="1"/>
  <c r="DH3" i="24" s="1"/>
  <c r="C39" i="21" a="1"/>
  <c r="C39" i="21" s="1"/>
  <c r="W39" i="21" a="1"/>
  <c r="W39" i="21" s="1"/>
  <c r="S39" i="21" a="1"/>
  <c r="S39" i="21" s="1"/>
  <c r="K39" i="21" a="1"/>
  <c r="K39" i="21" s="1"/>
  <c r="K40" i="21" s="1"/>
  <c r="G40" i="21" l="1"/>
  <c r="G41" i="21"/>
  <c r="C40" i="21"/>
  <c r="DJ5" i="24"/>
  <c r="DJ6" i="24" s="1"/>
  <c r="W55" i="21"/>
  <c r="V54" i="21"/>
  <c r="V55" i="21" s="1"/>
  <c r="DH6" i="24"/>
  <c r="C41" i="21"/>
  <c r="C42" i="21"/>
  <c r="W42" i="21"/>
  <c r="W41" i="21"/>
  <c r="W40" i="21"/>
  <c r="S42" i="21"/>
  <c r="S40" i="21"/>
  <c r="S41" i="21"/>
  <c r="K42" i="21"/>
  <c r="K41" i="21"/>
  <c r="O39" i="21" a="1"/>
  <c r="O39" i="21" s="1"/>
  <c r="DL9" i="24" l="1"/>
  <c r="DL10" i="24" s="1"/>
  <c r="DL11" i="24" s="1"/>
  <c r="DL12" i="24" s="1"/>
  <c r="DL13" i="24" s="1"/>
  <c r="DL14" i="24" s="1"/>
  <c r="DL15" i="24" s="1"/>
  <c r="DL16" i="24" s="1"/>
  <c r="DL17" i="24" s="1"/>
  <c r="DL18" i="24" s="1"/>
  <c r="DL19" i="24" s="1"/>
  <c r="DL20" i="24" s="1"/>
  <c r="DL21" i="24" s="1"/>
  <c r="DL22" i="24" s="1"/>
  <c r="DL23" i="24" s="1"/>
  <c r="DL24" i="24" s="1"/>
  <c r="DL25" i="24" s="1"/>
  <c r="DL26" i="24" s="1"/>
  <c r="DL27" i="24" s="1"/>
  <c r="DL28" i="24" s="1"/>
  <c r="O40" i="21"/>
  <c r="O41" i="21"/>
  <c r="O42" i="21"/>
  <c r="DM10" i="24" l="1"/>
  <c r="DM9" i="24"/>
  <c r="DM11" i="24" l="1"/>
  <c r="DM12" i="24" l="1"/>
  <c r="DM13" i="24" l="1"/>
  <c r="DM14" i="24" l="1"/>
  <c r="DM15" i="24" l="1"/>
  <c r="DM16" i="24" l="1"/>
  <c r="DM17" i="24" l="1"/>
  <c r="DM18" i="24" l="1"/>
  <c r="DM19" i="24" l="1"/>
  <c r="DM20" i="24" l="1"/>
  <c r="DM21" i="24" l="1"/>
  <c r="DM22" i="24" l="1"/>
  <c r="DM23" i="24" l="1"/>
  <c r="DM24" i="24" l="1"/>
  <c r="DM25" i="24" l="1"/>
  <c r="DM26" i="24" l="1"/>
  <c r="DM27" i="24" l="1"/>
  <c r="DM28" i="24"/>
</calcChain>
</file>

<file path=xl/sharedStrings.xml><?xml version="1.0" encoding="utf-8"?>
<sst xmlns="http://schemas.openxmlformats.org/spreadsheetml/2006/main" count="166" uniqueCount="107">
  <si>
    <t>Ravi Shukla</t>
  </si>
  <si>
    <t>Std Dev</t>
  </si>
  <si>
    <t>Correlation</t>
  </si>
  <si>
    <t>Exp Ret</t>
  </si>
  <si>
    <t>Weights</t>
  </si>
  <si>
    <t>Min</t>
  </si>
  <si>
    <t>Max</t>
  </si>
  <si>
    <t>Stock</t>
  </si>
  <si>
    <t>Weight Limits</t>
  </si>
  <si>
    <t>Covar</t>
  </si>
  <si>
    <r>
      <t>Caution</t>
    </r>
    <r>
      <rPr>
        <sz val="11"/>
        <color indexed="10"/>
        <rFont val="Calibri"/>
        <family val="2"/>
        <scheme val="minor"/>
      </rPr>
      <t xml:space="preserve">: No warranties. Use at your own risk. 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</si>
  <si>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j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</si>
  <si>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</si>
  <si>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Markowitz Optimal Portfolio Selection</t>
  </si>
  <si>
    <t>Please enter data only in cells shaded as:</t>
  </si>
  <si>
    <t>This worksheet is not protected and may be rendered useless if not used properly.</t>
  </si>
  <si>
    <t>A</t>
  </si>
  <si>
    <t>where you got this one.</t>
  </si>
  <si>
    <t>This spreadsheet calculates optimal portfolio weights using various objectives in the</t>
  </si>
  <si>
    <t>Markowitz (full covariance) framework. It utilizes expected returns, standard deviation of</t>
  </si>
  <si>
    <t>returns and correlations between pairs of returns as inputs. Risk-free rate and the risk</t>
  </si>
  <si>
    <t>aversion parameter are also used as inputs in some models. The user can restrict the weights</t>
  </si>
  <si>
    <t>to within a certain range.</t>
  </si>
  <si>
    <t>The following models are programmed into this spreadsheet:</t>
  </si>
  <si>
    <t>Maximize expected utility given risk aversion parameter. Utility function is</t>
  </si>
  <si>
    <r>
      <t>assumed to be E(U) = E(r) - 0.5A</t>
    </r>
    <r>
      <rPr>
        <sz val="11"/>
        <rFont val="Symbol"/>
        <family val="1"/>
        <charset val="2"/>
      </rPr>
      <t>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</t>
    </r>
  </si>
  <si>
    <t>the expected portfolio return must be within a range.</t>
  </si>
  <si>
    <t>Maximize expected portfolio return subject to the requirement that the standard</t>
  </si>
  <si>
    <t>deviation of returns must be within a range.</t>
  </si>
  <si>
    <t>For reasons I don't understand (I hope Microsoft engineers do), if I protect the model</t>
  </si>
  <si>
    <t>worksheet, the models give nonsensical results. So, the model workbook is unprotected and</t>
  </si>
  <si>
    <t>fragile. So, use it carefully. If you destroy the worksheet, download the original version</t>
  </si>
  <si>
    <t>B</t>
  </si>
  <si>
    <t>C</t>
  </si>
  <si>
    <t>D</t>
  </si>
  <si>
    <t>Frontier</t>
  </si>
  <si>
    <t>E(r)</t>
  </si>
  <si>
    <t>s</t>
  </si>
  <si>
    <t>AvgCorr</t>
  </si>
  <si>
    <t xml:space="preserve">* </t>
  </si>
  <si>
    <t xml:space="preserve">Maximize the slope of the capital allocation line (CAL) </t>
  </si>
  <si>
    <t>Do not edit this area unless you know what you are doing.</t>
  </si>
  <si>
    <t>Ell</t>
  </si>
  <si>
    <t>Slope of the CAL</t>
  </si>
  <si>
    <t>N Stocks</t>
  </si>
  <si>
    <t>Unconstrained Global Minimum variance portfolio.</t>
  </si>
  <si>
    <t>*</t>
  </si>
  <si>
    <t>Constrained Global Minimum variance portfolio.</t>
  </si>
  <si>
    <t>The unconstrained mean-variance frontier and the various optimal portfolios are shown in</t>
  </si>
  <si>
    <t>the chart on sheet named "Frontier." Reviewing this sheet will also be helpful in</t>
  </si>
  <si>
    <t>understanding the statistical properties of the portfolios.</t>
  </si>
  <si>
    <t>If the models fail to find a solution or give nonsensical answers, check your inputs and</t>
  </si>
  <si>
    <t>constraints. The best strategy would be start with a very wide range for the constraints and</t>
  </si>
  <si>
    <t>narrow them gradually as you understand the statistical properties of the</t>
  </si>
  <si>
    <t>The model is designed to work with 3-20 stocks in the portfolio. You can change the number</t>
  </si>
  <si>
    <t>of stocks in the portfolio by entering the number in cell B2 in sheet Data. The data entry will</t>
  </si>
  <si>
    <t>shrink or expand based on your input. Due to a glitch in Excel, if you increase the number of</t>
  </si>
  <si>
    <t>stocks in the Data sheet, the numbers for some securities (expected returns, standard</t>
  </si>
  <si>
    <t>deviations, correlations, etc.) may not be visible. Just redraw the sheet by pressing page</t>
  </si>
  <si>
    <t xml:space="preserve">down and the page up, </t>
  </si>
  <si>
    <t>If the frontier chart looks strange it's because the optimizer hasn't been run after the inputs</t>
  </si>
  <si>
    <t>were changed. Run the optimizer by clicking on the button on the Model sheet, and you</t>
  </si>
  <si>
    <t>should get a reasonable looking chart.</t>
  </si>
  <si>
    <t>optimal portfolios may be within the unconstrained frontier and the constrained tangency</t>
  </si>
  <si>
    <t>line may pierce the unconstrained frontier.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</si>
  <si>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i</t>
    </r>
  </si>
  <si>
    <r>
      <rPr>
        <i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R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</si>
  <si>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</si>
  <si>
    <t>E(U)</t>
  </si>
  <si>
    <t>Prob (r&lt;0)</t>
  </si>
  <si>
    <t>S</t>
  </si>
  <si>
    <t>Keep in mind that the frontier plotted in the chart is unconstrained frontier. Constrained</t>
  </si>
  <si>
    <t>Minimize standard deviation of portfolio returns subject to the requirement that</t>
  </si>
  <si>
    <t>Ticker</t>
  </si>
  <si>
    <t>TKR6</t>
  </si>
  <si>
    <t>TKR7</t>
  </si>
  <si>
    <t>TKR8</t>
  </si>
  <si>
    <t>TKR9</t>
  </si>
  <si>
    <t>TKR10</t>
  </si>
  <si>
    <t>TKR11</t>
  </si>
  <si>
    <t>TKR12</t>
  </si>
  <si>
    <t>TKR13</t>
  </si>
  <si>
    <t>TKR14</t>
  </si>
  <si>
    <t>TKR15</t>
  </si>
  <si>
    <t>TKR16</t>
  </si>
  <si>
    <t>TKR17</t>
  </si>
  <si>
    <t>TKR18</t>
  </si>
  <si>
    <t>TKR19</t>
  </si>
  <si>
    <t>TKR20</t>
  </si>
  <si>
    <t>Stock#</t>
  </si>
  <si>
    <t>Case 0: Unconstrained Global Minimum Variance</t>
  </si>
  <si>
    <t>Case 0A: Constrained Global Minimum Variance</t>
  </si>
  <si>
    <t>Case 1: Maximize Utility</t>
  </si>
  <si>
    <t>Case 2: Minimize Standard Deviation</t>
  </si>
  <si>
    <t>Case 3: Maximize Expected Return</t>
  </si>
  <si>
    <t>Case 4: Maximize Slope of the CAL</t>
  </si>
  <si>
    <t>Tangency Line</t>
  </si>
  <si>
    <t>Constrain Weights</t>
  </si>
  <si>
    <t>Min Wt</t>
  </si>
  <si>
    <t>Max Wt</t>
  </si>
  <si>
    <t>IBM</t>
  </si>
  <si>
    <t>MSFT</t>
  </si>
  <si>
    <t>PFE</t>
  </si>
  <si>
    <t>LUV</t>
  </si>
  <si>
    <t>No</t>
  </si>
  <si>
    <t>KO</t>
  </si>
  <si>
    <t>Last modified: October 26, 2016, 6:50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</si>
</sst>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##.\ 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vertAlign val="superscript"/>
      <sz val="11"/>
      <name val="Calibri"/>
      <family val="2"/>
      <scheme val="minor"/>
    </font>
    <font>
      <sz val="11"/>
      <name val="Symbol"/>
      <family val="1"/>
      <charset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Symbol"/>
      <family val="1"/>
      <charset val="2"/>
    </font>
    <font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8" fillId="2" borderId="2" applyNumberFormat="0" applyAlignment="0" applyProtection="0"/>
    <xf numFmtId="0" fontId="17" fillId="0" borderId="0"/>
    <xf numFmtId="9" fontId="17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6" fillId="6" borderId="8" applyNumberFormat="0" applyFont="0" applyAlignment="0" applyProtection="0"/>
    <xf numFmtId="0" fontId="29" fillId="0" borderId="0"/>
    <xf numFmtId="0" fontId="6" fillId="0" borderId="0"/>
    <xf numFmtId="9" fontId="6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6" borderId="8" applyNumberFormat="0" applyFont="0" applyAlignment="0" applyProtection="0"/>
  </cellStyleXfs>
  <cellXfs count="98">
    <xf numFmtId="0" fontId="0" fillId="0" borderId="0" xfId="0"/>
    <xf numFmtId="0" fontId="22" fillId="0" borderId="0" xfId="0" applyFont="1"/>
    <xf numFmtId="0" fontId="16" fillId="0" borderId="0" xfId="2" applyFont="1"/>
    <xf numFmtId="10" fontId="22" fillId="0" borderId="1" xfId="3" applyNumberFormat="1" applyFont="1" applyBorder="1" applyProtection="1">
      <protection locked="0"/>
    </xf>
    <xf numFmtId="0" fontId="16" fillId="0" borderId="0" xfId="2" applyFont="1" applyProtection="1"/>
    <xf numFmtId="0" fontId="19" fillId="0" borderId="1" xfId="2" applyFont="1" applyBorder="1" applyProtection="1"/>
    <xf numFmtId="0" fontId="19" fillId="3" borderId="1" xfId="2" applyFont="1" applyFill="1" applyBorder="1" applyAlignment="1" applyProtection="1">
      <alignment horizontal="right"/>
    </xf>
    <xf numFmtId="0" fontId="16" fillId="0" borderId="1" xfId="2" applyFont="1" applyBorder="1" applyAlignment="1" applyProtection="1">
      <alignment horizontal="right"/>
    </xf>
    <xf numFmtId="0" fontId="16" fillId="0" borderId="1" xfId="2" applyFont="1" applyBorder="1" applyAlignment="1" applyProtection="1">
      <alignment horizontal="center"/>
    </xf>
    <xf numFmtId="164" fontId="16" fillId="0" borderId="1" xfId="2" applyNumberFormat="1" applyFont="1" applyBorder="1" applyProtection="1"/>
    <xf numFmtId="10" fontId="22" fillId="0" borderId="1" xfId="3" applyNumberFormat="1" applyFont="1" applyBorder="1" applyProtection="1"/>
    <xf numFmtId="10" fontId="16" fillId="0" borderId="1" xfId="2" applyNumberFormat="1" applyFont="1" applyBorder="1" applyProtection="1"/>
    <xf numFmtId="0" fontId="16" fillId="0" borderId="1" xfId="2" applyFont="1" applyBorder="1" applyAlignment="1" applyProtection="1">
      <alignment horizontal="center"/>
    </xf>
    <xf numFmtId="0" fontId="28" fillId="0" borderId="0" xfId="2" applyFont="1" applyBorder="1" applyAlignment="1"/>
    <xf numFmtId="0" fontId="13" fillId="0" borderId="0" xfId="2" applyFont="1" applyBorder="1" applyProtection="1"/>
    <xf numFmtId="0" fontId="29" fillId="0" borderId="0" xfId="0" applyFont="1" applyBorder="1" applyAlignment="1">
      <alignment horizontal="center" vertical="center" wrapText="1"/>
    </xf>
    <xf numFmtId="0" fontId="18" fillId="2" borderId="1" xfId="1" applyBorder="1"/>
    <xf numFmtId="0" fontId="16" fillId="0" borderId="0" xfId="2" applyFont="1" applyBorder="1" applyProtection="1"/>
    <xf numFmtId="0" fontId="13" fillId="0" borderId="1" xfId="2" applyFont="1" applyBorder="1" applyAlignment="1" applyProtection="1">
      <alignment horizontal="right"/>
    </xf>
    <xf numFmtId="10" fontId="16" fillId="0" borderId="1" xfId="4" applyNumberFormat="1" applyFont="1" applyBorder="1" applyProtection="1"/>
    <xf numFmtId="0" fontId="12" fillId="0" borderId="0" xfId="2" applyFont="1"/>
    <xf numFmtId="166" fontId="22" fillId="0" borderId="0" xfId="0" applyNumberFormat="1" applyFont="1"/>
    <xf numFmtId="0" fontId="0" fillId="0" borderId="0" xfId="0" applyAlignment="1">
      <alignment horizontal="center"/>
    </xf>
    <xf numFmtId="0" fontId="16" fillId="0" borderId="1" xfId="2" applyFont="1" applyBorder="1" applyAlignment="1" applyProtection="1">
      <alignment horizontal="center"/>
    </xf>
    <xf numFmtId="0" fontId="27" fillId="5" borderId="6" xfId="2" applyFont="1" applyFill="1" applyBorder="1" applyAlignment="1" applyProtection="1"/>
    <xf numFmtId="0" fontId="27" fillId="5" borderId="0" xfId="2" applyFont="1" applyFill="1" applyBorder="1" applyAlignment="1" applyProtection="1"/>
    <xf numFmtId="10" fontId="28" fillId="0" borderId="1" xfId="4" applyNumberFormat="1" applyFont="1" applyBorder="1" applyAlignment="1"/>
    <xf numFmtId="0" fontId="16" fillId="6" borderId="0" xfId="5" applyFont="1" applyBorder="1" applyProtection="1"/>
    <xf numFmtId="0" fontId="11" fillId="6" borderId="1" xfId="5" applyFont="1" applyBorder="1" applyProtection="1"/>
    <xf numFmtId="0" fontId="21" fillId="6" borderId="1" xfId="5" applyFont="1" applyBorder="1" applyAlignment="1" applyProtection="1">
      <alignment horizontal="right"/>
    </xf>
    <xf numFmtId="0" fontId="35" fillId="6" borderId="1" xfId="5" applyFont="1" applyBorder="1" applyAlignment="1" applyProtection="1">
      <alignment horizontal="right"/>
    </xf>
    <xf numFmtId="9" fontId="22" fillId="6" borderId="1" xfId="5" applyNumberFormat="1" applyFont="1" applyBorder="1"/>
    <xf numFmtId="0" fontId="16" fillId="6" borderId="9" xfId="5" applyFont="1" applyBorder="1" applyProtection="1"/>
    <xf numFmtId="0" fontId="16" fillId="6" borderId="6" xfId="5" applyFont="1" applyBorder="1" applyProtection="1"/>
    <xf numFmtId="0" fontId="16" fillId="6" borderId="7" xfId="5" applyFont="1" applyBorder="1" applyProtection="1"/>
    <xf numFmtId="0" fontId="16" fillId="6" borderId="10" xfId="5" applyFont="1" applyBorder="1" applyProtection="1"/>
    <xf numFmtId="0" fontId="19" fillId="0" borderId="11" xfId="2" applyFont="1" applyBorder="1" applyProtection="1"/>
    <xf numFmtId="0" fontId="22" fillId="0" borderId="0" xfId="0" applyFont="1" applyAlignment="1">
      <alignment horizontal="right"/>
    </xf>
    <xf numFmtId="166" fontId="22" fillId="0" borderId="0" xfId="0" applyNumberFormat="1" applyFont="1" applyAlignment="1">
      <alignment horizontal="right"/>
    </xf>
    <xf numFmtId="0" fontId="16" fillId="6" borderId="1" xfId="5" applyFont="1" applyBorder="1" applyAlignment="1" applyProtection="1">
      <alignment horizontal="center"/>
    </xf>
    <xf numFmtId="10" fontId="10" fillId="6" borderId="1" xfId="5" applyNumberFormat="1" applyFont="1" applyBorder="1" applyProtection="1"/>
    <xf numFmtId="10" fontId="16" fillId="6" borderId="1" xfId="5" applyNumberFormat="1" applyFont="1" applyBorder="1" applyProtection="1"/>
    <xf numFmtId="164" fontId="16" fillId="6" borderId="1" xfId="5" applyNumberFormat="1" applyFont="1" applyBorder="1" applyProtection="1"/>
    <xf numFmtId="164" fontId="22" fillId="6" borderId="1" xfId="5" applyNumberFormat="1" applyFont="1" applyBorder="1"/>
    <xf numFmtId="0" fontId="10" fillId="6" borderId="6" xfId="5" applyFont="1" applyBorder="1" applyProtection="1"/>
    <xf numFmtId="0" fontId="19" fillId="3" borderId="1" xfId="2" applyFont="1" applyFill="1" applyBorder="1" applyAlignment="1" applyProtection="1">
      <alignment horizontal="center"/>
    </xf>
    <xf numFmtId="0" fontId="19" fillId="3" borderId="1" xfId="2" applyFont="1" applyFill="1" applyBorder="1" applyAlignment="1" applyProtection="1">
      <alignment horizontal="center"/>
    </xf>
    <xf numFmtId="0" fontId="16" fillId="0" borderId="1" xfId="2" applyFont="1" applyBorder="1" applyAlignment="1" applyProtection="1">
      <alignment horizontal="center"/>
    </xf>
    <xf numFmtId="0" fontId="22" fillId="2" borderId="1" xfId="1" applyNumberFormat="1" applyFont="1" applyBorder="1" applyProtection="1">
      <protection locked="0"/>
    </xf>
    <xf numFmtId="10" fontId="22" fillId="2" borderId="1" xfId="1" applyNumberFormat="1" applyFont="1" applyBorder="1" applyProtection="1">
      <protection locked="0"/>
    </xf>
    <xf numFmtId="165" fontId="22" fillId="4" borderId="1" xfId="2" applyNumberFormat="1" applyFont="1" applyFill="1" applyBorder="1" applyProtection="1"/>
    <xf numFmtId="165" fontId="22" fillId="2" borderId="1" xfId="1" applyNumberFormat="1" applyFont="1" applyBorder="1" applyProtection="1">
      <protection locked="0"/>
    </xf>
    <xf numFmtId="165" fontId="22" fillId="0" borderId="1" xfId="2" applyNumberFormat="1" applyFont="1" applyBorder="1" applyProtection="1"/>
    <xf numFmtId="0" fontId="19" fillId="6" borderId="1" xfId="5" applyFont="1" applyBorder="1" applyAlignment="1" applyProtection="1">
      <alignment horizontal="center"/>
    </xf>
    <xf numFmtId="2" fontId="16" fillId="0" borderId="0" xfId="2" applyNumberFormat="1" applyFont="1" applyProtection="1"/>
    <xf numFmtId="0" fontId="8" fillId="0" borderId="0" xfId="2" applyFont="1" applyProtection="1"/>
    <xf numFmtId="0" fontId="22" fillId="0" borderId="0" xfId="0" applyFont="1" applyBorder="1"/>
    <xf numFmtId="22" fontId="22" fillId="0" borderId="0" xfId="0" applyNumberFormat="1" applyFont="1"/>
    <xf numFmtId="2" fontId="22" fillId="2" borderId="1" xfId="1" applyNumberFormat="1" applyFont="1" applyBorder="1" applyAlignment="1" applyProtection="1">
      <protection locked="0"/>
    </xf>
    <xf numFmtId="0" fontId="22" fillId="2" borderId="1" xfId="1" applyFont="1" applyBorder="1" applyProtection="1">
      <protection locked="0"/>
    </xf>
    <xf numFmtId="10" fontId="22" fillId="2" borderId="1" xfId="1" applyNumberFormat="1" applyFont="1" applyBorder="1" applyProtection="1">
      <protection locked="0"/>
    </xf>
    <xf numFmtId="0" fontId="19" fillId="3" borderId="1" xfId="2" applyFont="1" applyFill="1" applyBorder="1" applyAlignment="1" applyProtection="1">
      <alignment horizontal="center"/>
    </xf>
    <xf numFmtId="0" fontId="19" fillId="3" borderId="1" xfId="2" applyFont="1" applyFill="1" applyBorder="1" applyAlignment="1" applyProtection="1">
      <alignment horizontal="center"/>
    </xf>
    <xf numFmtId="0" fontId="4" fillId="2" borderId="2" xfId="1" applyFont="1" applyAlignment="1" applyProtection="1">
      <alignment horizontal="center"/>
    </xf>
    <xf numFmtId="0" fontId="4" fillId="0" borderId="1" xfId="2" applyFont="1" applyBorder="1" applyAlignment="1" applyProtection="1">
      <alignment horizontal="center"/>
    </xf>
    <xf numFmtId="10" fontId="18" fillId="2" borderId="1" xfId="1" applyNumberFormat="1" applyBorder="1" applyProtection="1">
      <protection locked="0"/>
    </xf>
    <xf numFmtId="0" fontId="3" fillId="0" borderId="0" xfId="2" applyFont="1" applyProtection="1"/>
    <xf numFmtId="0" fontId="3" fillId="0" borderId="1" xfId="2" applyFont="1" applyBorder="1" applyAlignment="1" applyProtection="1">
      <alignment horizontal="center"/>
    </xf>
    <xf numFmtId="0" fontId="2" fillId="2" borderId="2" xfId="1" applyFont="1" applyAlignment="1" applyProtection="1">
      <alignment horizont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1" fillId="6" borderId="1" xfId="5" applyFont="1" applyBorder="1" applyAlignment="1" applyProtection="1">
      <alignment horizontal="center"/>
    </xf>
    <xf numFmtId="0" fontId="29" fillId="0" borderId="0" xfId="0" applyFont="1" applyBorder="1" applyAlignment="1">
      <alignment horizontal="center" vertical="center" wrapText="1"/>
    </xf>
    <xf numFmtId="165" fontId="14" fillId="0" borderId="3" xfId="2" applyNumberFormat="1" applyFont="1" applyBorder="1" applyAlignment="1"/>
    <xf numFmtId="165" fontId="14" fillId="0" borderId="4" xfId="2" applyNumberFormat="1" applyFont="1" applyBorder="1" applyAlignment="1"/>
    <xf numFmtId="165" fontId="14" fillId="0" borderId="5" xfId="2" applyNumberFormat="1" applyFont="1" applyBorder="1" applyAlignment="1"/>
    <xf numFmtId="0" fontId="19" fillId="3" borderId="1" xfId="2" applyFont="1" applyFill="1" applyBorder="1" applyAlignment="1" applyProtection="1">
      <alignment horizontal="center"/>
    </xf>
    <xf numFmtId="0" fontId="15" fillId="0" borderId="1" xfId="2" applyFont="1" applyBorder="1" applyAlignment="1" applyProtection="1">
      <alignment horizontal="center"/>
    </xf>
    <xf numFmtId="0" fontId="16" fillId="0" borderId="1" xfId="2" applyFont="1" applyBorder="1" applyAlignment="1" applyProtection="1">
      <alignment horizontal="center"/>
    </xf>
    <xf numFmtId="0" fontId="10" fillId="7" borderId="3" xfId="5" applyFont="1" applyFill="1" applyBorder="1" applyAlignment="1" applyProtection="1">
      <alignment horizontal="center"/>
    </xf>
    <xf numFmtId="0" fontId="10" fillId="7" borderId="4" xfId="5" applyFont="1" applyFill="1" applyBorder="1" applyAlignment="1" applyProtection="1">
      <alignment horizontal="center"/>
    </xf>
    <xf numFmtId="0" fontId="10" fillId="7" borderId="5" xfId="5" applyFont="1" applyFill="1" applyBorder="1" applyAlignment="1" applyProtection="1">
      <alignment horizontal="center"/>
    </xf>
    <xf numFmtId="0" fontId="27" fillId="5" borderId="3" xfId="2" applyFont="1" applyFill="1" applyBorder="1" applyAlignment="1" applyProtection="1">
      <alignment horizontal="center"/>
    </xf>
    <xf numFmtId="0" fontId="27" fillId="5" borderId="4" xfId="2" applyFont="1" applyFill="1" applyBorder="1" applyAlignment="1" applyProtection="1">
      <alignment horizontal="center"/>
    </xf>
    <xf numFmtId="0" fontId="27" fillId="5" borderId="5" xfId="2" applyFont="1" applyFill="1" applyBorder="1" applyAlignment="1" applyProtection="1">
      <alignment horizontal="center"/>
    </xf>
    <xf numFmtId="0" fontId="18" fillId="2" borderId="2" xfId="1" applyAlignment="1" applyProtection="1">
      <alignment horizontal="center"/>
    </xf>
    <xf numFmtId="0" fontId="4" fillId="0" borderId="1" xfId="2" applyFont="1" applyBorder="1" applyAlignment="1" applyProtection="1">
      <alignment horizontal="center"/>
    </xf>
    <xf numFmtId="0" fontId="19" fillId="3" borderId="1" xfId="2" applyFont="1" applyFill="1" applyBorder="1" applyAlignment="1" applyProtection="1">
      <alignment horizontal="center" vertical="center" wrapText="1"/>
    </xf>
    <xf numFmtId="0" fontId="19" fillId="3" borderId="1" xfId="2" applyFont="1" applyFill="1" applyBorder="1" applyAlignment="1" applyProtection="1">
      <alignment horizontal="center" wrapText="1"/>
    </xf>
    <xf numFmtId="0" fontId="7" fillId="0" borderId="1" xfId="2" applyFont="1" applyBorder="1" applyAlignment="1"/>
    <xf numFmtId="0" fontId="9" fillId="0" borderId="1" xfId="2" applyFont="1" applyBorder="1" applyAlignment="1" applyProtection="1"/>
    <xf numFmtId="0" fontId="16" fillId="0" borderId="1" xfId="2" applyFont="1" applyBorder="1" applyAlignment="1" applyProtection="1"/>
    <xf numFmtId="0" fontId="37" fillId="0" borderId="1" xfId="2" applyFont="1" applyBorder="1" applyAlignment="1" applyProtection="1"/>
    <xf numFmtId="0" fontId="7" fillId="0" borderId="1" xfId="2" applyFont="1" applyBorder="1" applyAlignment="1" applyProtection="1"/>
    <xf numFmtId="0" fontId="19" fillId="3" borderId="3" xfId="2" applyFont="1" applyFill="1" applyBorder="1" applyAlignment="1" applyProtection="1">
      <alignment horizontal="center" wrapText="1"/>
    </xf>
    <xf numFmtId="0" fontId="19" fillId="3" borderId="5" xfId="2" applyFont="1" applyFill="1" applyBorder="1" applyAlignment="1" applyProtection="1">
      <alignment horizontal="center" wrapText="1"/>
    </xf>
  </cellXfs>
  <cellStyles count="11">
    <cellStyle name="Input" xfId="1" builtinId="20"/>
    <cellStyle name="Normal" xfId="0" builtinId="0"/>
    <cellStyle name="Normal 2" xfId="2"/>
    <cellStyle name="Normal 2 2" xfId="7"/>
    <cellStyle name="Normal 3" xfId="6"/>
    <cellStyle name="Note" xfId="5" builtinId="10"/>
    <cellStyle name="Note 2" xfId="10"/>
    <cellStyle name="Percent" xfId="4" builtinId="5"/>
    <cellStyle name="Percent 2" xfId="3"/>
    <cellStyle name="Percent 2 2" xfId="8"/>
    <cellStyle name="Percent 3" xfId="9"/>
  </cellStyles>
  <dxfs count="18">
    <dxf>
      <numFmt numFmtId="167" formatCode=";;"/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b/>
        <i val="0"/>
        <color rgb="FF002060"/>
      </font>
      <fill>
        <patternFill>
          <bgColor rgb="FFFF0000"/>
        </patternFill>
      </fill>
    </dxf>
    <dxf>
      <numFmt numFmtId="168" formatCode=";;;"/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 and Optimal Portfolios</a:t>
            </a:r>
          </a:p>
          <a:p>
            <a:pPr>
              <a:defRPr/>
            </a:pPr>
            <a:r>
              <a:rPr lang="en-US" sz="1400"/>
              <a:t>Markowitz Model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Unconstrained Frontier</c:v>
          </c:tx>
          <c:marker>
            <c:symbol val="none"/>
          </c:marker>
          <c:xVal>
            <c:numRef>
              <c:f>Data!$DM$9:$DM$28</c:f>
              <c:numCache>
                <c:formatCode>0%</c:formatCode>
                <c:ptCount val="20"/>
                <c:pt idx="0">
                  <c:v>0.1560671890783126</c:v>
                </c:pt>
                <c:pt idx="1">
                  <c:v>0.14198440321115113</c:v>
                </c:pt>
                <c:pt idx="2">
                  <c:v>0.12817393611040126</c:v>
                </c:pt>
                <c:pt idx="3">
                  <c:v>0.11473416638135842</c:v>
                </c:pt>
                <c:pt idx="4">
                  <c:v>0.10181200256749087</c:v>
                </c:pt>
                <c:pt idx="5">
                  <c:v>8.9631594277720036E-2</c:v>
                </c:pt>
                <c:pt idx="6">
                  <c:v>7.8538814691300154E-2</c:v>
                </c:pt>
                <c:pt idx="7">
                  <c:v>6.9059771414684515E-2</c:v>
                </c:pt>
                <c:pt idx="8">
                  <c:v>6.1939829972063189E-2</c:v>
                </c:pt>
                <c:pt idx="9">
                  <c:v>5.8053569575636198E-2</c:v>
                </c:pt>
                <c:pt idx="10">
                  <c:v>5.8054071677737552E-2</c:v>
                </c:pt>
                <c:pt idx="11">
                  <c:v>6.1941241758945061E-2</c:v>
                </c:pt>
                <c:pt idx="12">
                  <c:v>6.9061881796702987E-2</c:v>
                </c:pt>
                <c:pt idx="13">
                  <c:v>7.8541412632757074E-2</c:v>
                </c:pt>
                <c:pt idx="14">
                  <c:v>8.9634521105329476E-2</c:v>
                </c:pt>
                <c:pt idx="15">
                  <c:v>0.10181515183704251</c:v>
                </c:pt>
                <c:pt idx="16">
                  <c:v>0.11473746906657745</c:v>
                </c:pt>
                <c:pt idx="17">
                  <c:v>0.12817734732156516</c:v>
                </c:pt>
                <c:pt idx="18">
                  <c:v>0.14198789321406238</c:v>
                </c:pt>
                <c:pt idx="19">
                  <c:v>0.1560707377016215</c:v>
                </c:pt>
              </c:numCache>
            </c:numRef>
          </c:xVal>
          <c:yVal>
            <c:numRef>
              <c:f>Data!$DL$9:$DL$28</c:f>
              <c:numCache>
                <c:formatCode>0%</c:formatCode>
                <c:ptCount val="20"/>
                <c:pt idx="0">
                  <c:v>6.9796164772915892E-3</c:v>
                </c:pt>
                <c:pt idx="1">
                  <c:v>1.3625683384283906E-2</c:v>
                </c:pt>
                <c:pt idx="2">
                  <c:v>2.0271750291276223E-2</c:v>
                </c:pt>
                <c:pt idx="3">
                  <c:v>2.6917817198268541E-2</c:v>
                </c:pt>
                <c:pt idx="4">
                  <c:v>3.3563884105260858E-2</c:v>
                </c:pt>
                <c:pt idx="5">
                  <c:v>4.0209951012253178E-2</c:v>
                </c:pt>
                <c:pt idx="6">
                  <c:v>4.6856017919245499E-2</c:v>
                </c:pt>
                <c:pt idx="7">
                  <c:v>5.350208482623782E-2</c:v>
                </c:pt>
                <c:pt idx="8">
                  <c:v>6.014815173323014E-2</c:v>
                </c:pt>
                <c:pt idx="9">
                  <c:v>6.6794218640222461E-2</c:v>
                </c:pt>
                <c:pt idx="10">
                  <c:v>7.3440285547214781E-2</c:v>
                </c:pt>
                <c:pt idx="11">
                  <c:v>8.0086352454207102E-2</c:v>
                </c:pt>
                <c:pt idx="12">
                  <c:v>8.6732419361199423E-2</c:v>
                </c:pt>
                <c:pt idx="13">
                  <c:v>9.3378486268191743E-2</c:v>
                </c:pt>
                <c:pt idx="14">
                  <c:v>0.10002455317518406</c:v>
                </c:pt>
                <c:pt idx="15">
                  <c:v>0.10667062008217638</c:v>
                </c:pt>
                <c:pt idx="16">
                  <c:v>0.11331668698916871</c:v>
                </c:pt>
                <c:pt idx="17">
                  <c:v>0.11996275389616103</c:v>
                </c:pt>
                <c:pt idx="18">
                  <c:v>0.12660882080315333</c:v>
                </c:pt>
                <c:pt idx="19">
                  <c:v>0.13325488771014565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1B-4733-9F14-9E2E1B6193E3}"/>
            </c:ext>
          </c:extLst>
        </c:ser>
        <c:ser>
          <c:idx val="1"/>
          <c:order val="1"/>
          <c:tx>
            <c:v>Unconstrained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</c:spPr>
          </c:marker>
          <c:xVal>
            <c:numRef>
              <c:f>Models!$C$39</c:f>
              <c:numCache>
                <c:formatCode>0.00%</c:formatCode>
                <c:ptCount val="1"/>
                <c:pt idx="0">
                  <c:v>5.7549527442030526E-2</c:v>
                </c:pt>
              </c:numCache>
            </c:numRef>
          </c:xVal>
          <c:yVal>
            <c:numRef>
              <c:f>Models!$C$38</c:f>
              <c:numCache>
                <c:formatCode>0.00%</c:formatCode>
                <c:ptCount val="1"/>
                <c:pt idx="0">
                  <c:v>7.0117252093718607E-2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1B-4733-9F14-9E2E1B6193E3}"/>
            </c:ext>
          </c:extLst>
        </c:ser>
        <c:ser>
          <c:idx val="8"/>
          <c:order val="2"/>
          <c:tx>
            <c:v>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</c:spPr>
          </c:marker>
          <c:xVal>
            <c:numRef>
              <c:f>Models!$G$39</c:f>
              <c:numCache>
                <c:formatCode>0.00%</c:formatCode>
                <c:ptCount val="1"/>
                <c:pt idx="0">
                  <c:v>5.7549527442030526E-2</c:v>
                </c:pt>
              </c:numCache>
            </c:numRef>
          </c:xVal>
          <c:yVal>
            <c:numRef>
              <c:f>Models!$G$38</c:f>
              <c:numCache>
                <c:formatCode>0.00%</c:formatCode>
                <c:ptCount val="1"/>
                <c:pt idx="0">
                  <c:v>7.0117252093718607E-2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1B-4733-9F14-9E2E1B6193E3}"/>
            </c:ext>
          </c:extLst>
        </c:ser>
        <c:ser>
          <c:idx val="2"/>
          <c:order val="3"/>
          <c:tx>
            <c:v>Maximize Expected Utility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2060"/>
              </a:solidFill>
            </c:spPr>
          </c:marker>
          <c:xVal>
            <c:numRef>
              <c:f>Models!$K$39</c:f>
              <c:numCache>
                <c:formatCode>0.00%</c:formatCode>
                <c:ptCount val="1"/>
                <c:pt idx="0">
                  <c:v>0.15607073770165114</c:v>
                </c:pt>
              </c:numCache>
            </c:numRef>
          </c:xVal>
          <c:yVal>
            <c:numRef>
              <c:f>Models!$K$38</c:f>
              <c:numCache>
                <c:formatCode>0.00%</c:formatCode>
                <c:ptCount val="1"/>
                <c:pt idx="0">
                  <c:v>0.13325488771014563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1B-4733-9F14-9E2E1B6193E3}"/>
            </c:ext>
          </c:extLst>
        </c:ser>
        <c:ser>
          <c:idx val="3"/>
          <c:order val="4"/>
          <c:tx>
            <c:v>Minimize Standard Deviation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xVal>
            <c:numRef>
              <c:f>Models!$O$39</c:f>
              <c:numCache>
                <c:formatCode>0.00%</c:formatCode>
                <c:ptCount val="1"/>
                <c:pt idx="0">
                  <c:v>8.9591278259058091E-2</c:v>
                </c:pt>
              </c:numCache>
            </c:numRef>
          </c:xVal>
          <c:yVal>
            <c:numRef>
              <c:f>Models!$O$38</c:f>
              <c:numCache>
                <c:formatCode>0.00%</c:formatCode>
                <c:ptCount val="1"/>
                <c:pt idx="0">
                  <c:v>0.10000000099178799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71B-4733-9F14-9E2E1B6193E3}"/>
            </c:ext>
          </c:extLst>
        </c:ser>
        <c:ser>
          <c:idx val="4"/>
          <c:order val="5"/>
          <c:tx>
            <c:v>Maximize Expected Return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Models!$S$39</c:f>
              <c:numCache>
                <c:formatCode>0.00%</c:formatCode>
                <c:ptCount val="1"/>
                <c:pt idx="0">
                  <c:v>0.10000095604777796</c:v>
                </c:pt>
              </c:numCache>
            </c:numRef>
          </c:xVal>
          <c:yVal>
            <c:numRef>
              <c:f>Models!$S$38</c:f>
              <c:numCache>
                <c:formatCode>0.00%</c:formatCode>
                <c:ptCount val="1"/>
                <c:pt idx="0">
                  <c:v>0.10689943721008044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71B-4733-9F14-9E2E1B6193E3}"/>
            </c:ext>
          </c:extLst>
        </c:ser>
        <c:ser>
          <c:idx val="5"/>
          <c:order val="6"/>
          <c:tx>
            <c:v>Maximize CAL Slope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numRef>
              <c:f>Models!$W$39</c:f>
              <c:numCache>
                <c:formatCode>0.00%</c:formatCode>
                <c:ptCount val="1"/>
                <c:pt idx="0">
                  <c:v>6.4336215436225822E-2</c:v>
                </c:pt>
              </c:numCache>
            </c:numRef>
          </c:xVal>
          <c:yVal>
            <c:numRef>
              <c:f>Models!$W$38</c:f>
              <c:numCache>
                <c:formatCode>0.00%</c:formatCode>
                <c:ptCount val="1"/>
                <c:pt idx="0">
                  <c:v>8.2633798324200758E-2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71B-4733-9F14-9E2E1B6193E3}"/>
            </c:ext>
          </c:extLst>
        </c:ser>
        <c:ser>
          <c:idx val="6"/>
          <c:order val="7"/>
          <c:tx>
            <c:v>Risk-free Rate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Data!$B$4</c:f>
              <c:numCache>
                <c:formatCode>0.00%</c:formatCode>
                <c:ptCount val="1"/>
                <c:pt idx="0">
                  <c:v>0.02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71B-4733-9F14-9E2E1B6193E3}"/>
            </c:ext>
          </c:extLst>
        </c:ser>
        <c:ser>
          <c:idx val="7"/>
          <c:order val="8"/>
          <c:tx>
            <c:v>Capital Allocation Line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Models!$V$53:$V$55</c:f>
              <c:numCache>
                <c:formatCode>0.00%</c:formatCode>
                <c:ptCount val="3"/>
                <c:pt idx="0">
                  <c:v>0</c:v>
                </c:pt>
                <c:pt idx="1">
                  <c:v>6.4336215436225822E-2</c:v>
                </c:pt>
                <c:pt idx="2">
                  <c:v>9.6504323154338739E-2</c:v>
                </c:pt>
              </c:numCache>
            </c:numRef>
          </c:xVal>
          <c:yVal>
            <c:numRef>
              <c:f>Models!$W$53:$W$55</c:f>
              <c:numCache>
                <c:formatCode>0.00%</c:formatCode>
                <c:ptCount val="3"/>
                <c:pt idx="0">
                  <c:v>0.02</c:v>
                </c:pt>
                <c:pt idx="1">
                  <c:v>8.2633798324200758E-2</c:v>
                </c:pt>
                <c:pt idx="2">
                  <c:v>0.11395069748630114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71B-4733-9F14-9E2E1B6193E3}"/>
            </c:ext>
          </c:extLst>
        </c:ser>
        <c:ser>
          <c:idx val="9"/>
          <c:order val="9"/>
          <c:tx>
            <c:v>Securities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Data!$A$9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{859B8491-7FD9-4D01-8B98-258CEE9EE6E2}</c15:txfldGUID>
                      <c15:f>Data!$A$9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71B-4733-9F14-9E2E1B6193E3}"/>
                </c:ext>
              </c:extLst>
            </c:dLbl>
            <c:dLbl>
              <c:idx val="1"/>
              <c:tx>
                <c:strRef>
                  <c:f>Data!$A$10</c:f>
                  <c:strCache>
                    <c:ptCount val="1"/>
                    <c:pt idx="0">
                      <c:v>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{C35EF329-216C-414C-A965-2435075A3148}</c15:txfldGUID>
                      <c15:f>Data!$A$10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71B-4733-9F14-9E2E1B6193E3}"/>
                </c:ext>
              </c:extLst>
            </c:dLbl>
            <c:dLbl>
              <c:idx val="2"/>
              <c:tx>
                <c:strRef>
                  <c:f>Data!$A$11</c:f>
                  <c:strCache>
                    <c:ptCount val="1"/>
                    <c:pt idx="0">
                      <c:v>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{1E2702DA-2D29-4D45-A93D-B7B44A394DBE}</c15:txfldGUID>
                      <c15:f>Data!$A$11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71B-4733-9F14-9E2E1B6193E3}"/>
                </c:ext>
              </c:extLst>
            </c:dLbl>
            <c:dLbl>
              <c:idx val="3"/>
              <c:tx>
                <c:strRef>
                  <c:f>Data!$A$12</c:f>
                  <c:strCache>
                    <c:ptCount val="1"/>
                    <c:pt idx="0">
                      <c:v>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{B899DE08-BF9D-477F-92C7-426DC8ACB945}</c15:txfldGUID>
                      <c15:f>Data!$A$12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71B-4733-9F14-9E2E1B6193E3}"/>
                </c:ext>
              </c:extLst>
            </c:dLbl>
            <c:dLbl>
              <c:idx val="4"/>
              <c:tx>
                <c:strRef>
                  <c:f>Data!$A$13</c:f>
                  <c:strCache>
                    <c:ptCount val="1"/>
                    <c:pt idx="0">
                      <c:v>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{AC28DF00-CC1C-40B5-AD49-2C7CE3A862DB}</c15:txfldGUID>
                      <c15:f>Data!$A$13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71B-4733-9F14-9E2E1B6193E3}"/>
                </c:ext>
              </c:extLst>
            </c:dLbl>
            <c:dLbl>
              <c:idx val="5"/>
              <c:tx>
                <c:strRef>
                  <c:f>Data!$A$14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{60E9A700-B74A-47A6-8B9C-EAE947B6BA10}</c15:txfldGUID>
                      <c15:f>Data!$A$14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71B-4733-9F14-9E2E1B6193E3}"/>
                </c:ext>
              </c:extLst>
            </c:dLbl>
            <c:dLbl>
              <c:idx val="6"/>
              <c:tx>
                <c:strRef>
                  <c:f>Data!$A$15</c:f>
                  <c:strCache>
                    <c:ptCount val="1"/>
                    <c:pt idx="0">
                      <c:v>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{BA079086-BD7B-45A5-A222-88279AA1FBA7}</c15:txfldGUID>
                      <c15:f>Data!$A$15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71B-4733-9F14-9E2E1B6193E3}"/>
                </c:ext>
              </c:extLst>
            </c:dLbl>
            <c:dLbl>
              <c:idx val="7"/>
              <c:tx>
                <c:strRef>
                  <c:f>Data!$A$16</c:f>
                  <c:strCache>
                    <c:ptCount val="1"/>
                    <c:pt idx="0">
                      <c:v>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{7BF6D398-135E-404F-8555-A5F67235999E}</c15:txfldGUID>
                      <c15:f>Data!$A$16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71B-4733-9F14-9E2E1B6193E3}"/>
                </c:ext>
              </c:extLst>
            </c:dLbl>
            <c:dLbl>
              <c:idx val="8"/>
              <c:tx>
                <c:strRef>
                  <c:f>Data!$A$17</c:f>
                  <c:strCache>
                    <c:ptCount val="1"/>
                    <c:pt idx="0">
                      <c:v>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{3F49E521-1E7E-4B3C-9B2F-429CEF127BAD}</c15:txfldGUID>
                      <c15:f>Data!$A$17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71B-4733-9F14-9E2E1B6193E3}"/>
                </c:ext>
              </c:extLst>
            </c:dLbl>
            <c:dLbl>
              <c:idx val="9"/>
              <c:tx>
                <c:strRef>
                  <c:f>Data!$A$18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{6DD55183-D7C7-46C8-977B-F417A60C635D}</c15:txfldGUID>
                      <c15:f>Data!$A$18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71B-4733-9F14-9E2E1B6193E3}"/>
                </c:ext>
              </c:extLst>
            </c:dLbl>
            <c:dLbl>
              <c:idx val="10"/>
              <c:tx>
                <c:strRef>
                  <c:f>Data!$A$19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{7B3FB012-E121-499B-A330-8139B9FCEB41}</c15:txfldGUID>
                      <c15:f>Data!$A$19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71B-4733-9F14-9E2E1B6193E3}"/>
                </c:ext>
              </c:extLst>
            </c:dLbl>
            <c:dLbl>
              <c:idx val="11"/>
              <c:tx>
                <c:strRef>
                  <c:f>Data!$A$20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{713FB284-81CA-4DA5-B4FA-FC87777DFF7E}</c15:txfldGUID>
                      <c15:f>Data!$A$20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71B-4733-9F14-9E2E1B6193E3}"/>
                </c:ext>
              </c:extLst>
            </c:dLbl>
            <c:dLbl>
              <c:idx val="12"/>
              <c:tx>
                <c:strRef>
                  <c:f>Data!$A$21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{ED952AE5-BA5E-4235-AB3F-665C9701D66E}</c15:txfldGUID>
                      <c15:f>Data!$A$21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71B-4733-9F14-9E2E1B6193E3}"/>
                </c:ext>
              </c:extLst>
            </c:dLbl>
            <c:dLbl>
              <c:idx val="13"/>
              <c:tx>
                <c:strRef>
                  <c:f>Data!$A$22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{B3D3424B-1145-4605-B215-7E351D1A4577}</c15:txfldGUID>
                      <c15:f>Data!$A$22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71B-4733-9F14-9E2E1B6193E3}"/>
                </c:ext>
              </c:extLst>
            </c:dLbl>
            <c:dLbl>
              <c:idx val="14"/>
              <c:tx>
                <c:strRef>
                  <c:f>Data!$A$23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{D839A8F3-D610-4FB4-9D75-DC7F9CCEDAE5}</c15:txfldGUID>
                      <c15:f>Data!$A$23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71B-4733-9F14-9E2E1B6193E3}"/>
                </c:ext>
              </c:extLst>
            </c:dLbl>
            <c:dLbl>
              <c:idx val="15"/>
              <c:tx>
                <c:strRef>
                  <c:f>Data!$A$24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{8A30C428-19B2-43DC-8AF2-5DD135B6066B}</c15:txfldGUID>
                      <c15:f>Data!$A$24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71B-4733-9F14-9E2E1B6193E3}"/>
                </c:ext>
              </c:extLst>
            </c:dLbl>
            <c:dLbl>
              <c:idx val="16"/>
              <c:tx>
                <c:strRef>
                  <c:f>Data!$A$25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{DD4CB135-4025-4016-AB80-C0677EA9AECD}</c15:txfldGUID>
                      <c15:f>Data!$A$25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71B-4733-9F14-9E2E1B6193E3}"/>
                </c:ext>
              </c:extLst>
            </c:dLbl>
            <c:dLbl>
              <c:idx val="17"/>
              <c:tx>
                <c:strRef>
                  <c:f>Data!$A$26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{551D5133-6796-4192-867F-163446742965}</c15:txfldGUID>
                      <c15:f>Data!$A$26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71B-4733-9F14-9E2E1B6193E3}"/>
                </c:ext>
              </c:extLst>
            </c:dLbl>
            <c:dLbl>
              <c:idx val="18"/>
              <c:tx>
                <c:strRef>
                  <c:f>Data!$A$27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{52E82293-234E-493A-8810-73963A59A8E3}</c15:txfldGUID>
                      <c15:f>Data!$A$27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71B-4733-9F14-9E2E1B6193E3}"/>
                </c:ext>
              </c:extLst>
            </c:dLbl>
            <c:dLbl>
              <c:idx val="19"/>
              <c:tx>
                <c:strRef>
                  <c:f>Data!$A$28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{BE55D7E9-D666-48CC-B1CB-CCEF716C3BAA}</c15:txfldGUID>
                      <c15:f>Data!$A$28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571B-4733-9F14-9E2E1B6193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[0]!sigma</c:f>
              <c:numCache>
                <c:formatCode>0.00%</c:formatCode>
                <c:ptCount val="10"/>
                <c:pt idx="0">
                  <c:v>0.18</c:v>
                </c:pt>
                <c:pt idx="1">
                  <c:v>0.2</c:v>
                </c:pt>
                <c:pt idx="2">
                  <c:v>0.12</c:v>
                </c:pt>
                <c:pt idx="3">
                  <c:v>0.06</c:v>
                </c:pt>
                <c:pt idx="4">
                  <c:v>0.2</c:v>
                </c:pt>
                <c:pt idx="5">
                  <c:v>0.17</c:v>
                </c:pt>
                <c:pt idx="6">
                  <c:v>0.23</c:v>
                </c:pt>
                <c:pt idx="7">
                  <c:v>0.2</c:v>
                </c:pt>
                <c:pt idx="8">
                  <c:v>0.3</c:v>
                </c:pt>
                <c:pt idx="9">
                  <c:v>0.2</c:v>
                </c:pt>
              </c:numCache>
            </c:numRef>
          </c:xVal>
          <c:yVal>
            <c:numRef>
              <c:f>[0]!ExpRet</c:f>
              <c:numCache>
                <c:formatCode>0.00%</c:formatCode>
                <c:ptCount val="10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0.113</c:v>
                </c:pt>
                <c:pt idx="5">
                  <c:v>9.5000000000000001E-2</c:v>
                </c:pt>
                <c:pt idx="6">
                  <c:v>0.1</c:v>
                </c:pt>
                <c:pt idx="7">
                  <c:v>0.09</c:v>
                </c:pt>
                <c:pt idx="8">
                  <c:v>0.16</c:v>
                </c:pt>
                <c:pt idx="9">
                  <c:v>0.13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71B-4733-9F14-9E2E1B619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06984"/>
        <c:axId val="394615216"/>
      </c:scatterChart>
      <c:valAx>
        <c:axId val="394606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>
                    <a:latin typeface="Symbol" pitchFamily="18" charset="2"/>
                  </a:rPr>
                  <a:t>s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94615216"/>
        <c:crosses val="autoZero"/>
        <c:crossBetween val="midCat"/>
      </c:valAx>
      <c:valAx>
        <c:axId val="39461521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E(r)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94606984"/>
        <c:crosses val="autoZero"/>
        <c:crossBetween val="midCat"/>
      </c:valAx>
      <c:spPr>
        <a:noFill/>
      </c:spPr>
    </c:plotArea>
    <c:legend>
      <c:legendPos val="l"/>
      <c:layout>
        <c:manualLayout>
          <c:xMode val="edge"/>
          <c:yMode val="edge"/>
          <c:x val="0.71295281354838136"/>
          <c:y val="0.47305328051548234"/>
          <c:w val="0.26896000737828751"/>
          <c:h val="0.41618004685748433"/>
        </c:manualLayout>
      </c:layout>
      <c:overlay val="1"/>
      <c:spPr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2</xdr:row>
          <xdr:rowOff>182880</xdr:rowOff>
        </xdr:from>
        <xdr:to>
          <xdr:col>17</xdr:col>
          <xdr:colOff>68580</xdr:colOff>
          <xdr:row>5</xdr:row>
          <xdr:rowOff>57150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all Correlations to AvgCorr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0</xdr:colOff>
      <xdr:row>8</xdr:row>
      <xdr:rowOff>0</xdr:rowOff>
    </xdr:from>
    <xdr:to>
      <xdr:col>33</xdr:col>
      <xdr:colOff>504824</xdr:colOff>
      <xdr:row>19</xdr:row>
      <xdr:rowOff>76199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887325" y="1676400"/>
          <a:ext cx="2943224" cy="2171699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Notes: </a:t>
          </a:r>
        </a:p>
        <a:p>
          <a:endParaRPr lang="en-US" sz="1100"/>
        </a:p>
        <a:p>
          <a:r>
            <a:rPr lang="en-US" sz="1100"/>
            <a:t>1.  The</a:t>
          </a:r>
          <a:r>
            <a:rPr lang="en-US" sz="1100" baseline="0"/>
            <a:t> time units for all the returns,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including the risk-free rate, </a:t>
          </a:r>
          <a:r>
            <a:rPr lang="en-US" sz="1100" baseline="0"/>
            <a:t>should be the same (% per year, % per month, or % per week).</a:t>
          </a:r>
        </a:p>
        <a:p>
          <a:endParaRPr lang="en-US" sz="1100" baseline="0"/>
        </a:p>
        <a:p>
          <a:r>
            <a:rPr lang="en-US" sz="1100" baseline="0"/>
            <a:t>2. The model can accept up to 20 stocks. If you have fewer than 20 stocks, set the weight limits for the remaining stocks to between 0% and 0%.</a:t>
          </a:r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152400</xdr:rowOff>
        </xdr:from>
        <xdr:to>
          <xdr:col>6</xdr:col>
          <xdr:colOff>476250</xdr:colOff>
          <xdr:row>5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Optimizer!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Q49"/>
  <sheetViews>
    <sheetView showGridLines="0" tabSelected="1" workbookViewId="0">
      <selection sqref="A1:I1"/>
    </sheetView>
  </sheetViews>
  <sheetFormatPr defaultColWidth="9.1640625" defaultRowHeight="14.4" x14ac:dyDescent="0.55000000000000004"/>
  <cols>
    <col min="1" max="16" width="9.1640625" style="1"/>
    <col min="17" max="17" width="15.83203125" style="1" bestFit="1" customWidth="1"/>
    <col min="18" max="16384" width="9.1640625" style="1"/>
  </cols>
  <sheetData>
    <row r="1" spans="1:17" ht="18.3" x14ac:dyDescent="0.7">
      <c r="A1" s="69" t="s">
        <v>13</v>
      </c>
      <c r="B1" s="69"/>
      <c r="C1" s="69"/>
      <c r="D1" s="69"/>
      <c r="E1" s="69"/>
      <c r="F1" s="69"/>
      <c r="G1" s="69"/>
      <c r="H1" s="69"/>
      <c r="I1" s="69"/>
    </row>
    <row r="2" spans="1:17" ht="15.6" x14ac:dyDescent="0.6">
      <c r="A2" s="70" t="s">
        <v>0</v>
      </c>
      <c r="B2" s="70"/>
      <c r="C2" s="70"/>
      <c r="D2" s="70"/>
      <c r="E2" s="70"/>
      <c r="F2" s="70"/>
      <c r="G2" s="70"/>
      <c r="H2" s="70"/>
      <c r="I2" s="70"/>
    </row>
    <row r="3" spans="1:17" x14ac:dyDescent="0.55000000000000004">
      <c r="A3" s="72" t="s">
        <v>106</v>
      </c>
      <c r="B3" s="72"/>
      <c r="C3" s="72"/>
      <c r="D3" s="72"/>
      <c r="E3" s="72"/>
      <c r="F3" s="72"/>
      <c r="G3" s="72"/>
      <c r="H3" s="72"/>
      <c r="I3" s="72"/>
    </row>
    <row r="4" spans="1:17" x14ac:dyDescent="0.55000000000000004">
      <c r="A4" s="71" t="s">
        <v>10</v>
      </c>
      <c r="B4" s="71"/>
      <c r="C4" s="71"/>
      <c r="D4" s="71"/>
      <c r="E4" s="71"/>
      <c r="F4" s="71"/>
      <c r="G4" s="71"/>
      <c r="H4" s="71"/>
      <c r="I4" s="71"/>
    </row>
    <row r="6" spans="1:17" x14ac:dyDescent="0.55000000000000004">
      <c r="A6" s="20" t="s">
        <v>18</v>
      </c>
      <c r="B6" s="2"/>
    </row>
    <row r="7" spans="1:17" x14ac:dyDescent="0.55000000000000004">
      <c r="A7" s="20" t="s">
        <v>19</v>
      </c>
      <c r="B7" s="2"/>
      <c r="Q7" s="57"/>
    </row>
    <row r="8" spans="1:17" x14ac:dyDescent="0.55000000000000004">
      <c r="A8" s="20" t="s">
        <v>20</v>
      </c>
      <c r="B8" s="2"/>
    </row>
    <row r="9" spans="1:17" x14ac:dyDescent="0.55000000000000004">
      <c r="A9" s="1" t="s">
        <v>21</v>
      </c>
    </row>
    <row r="10" spans="1:17" x14ac:dyDescent="0.55000000000000004">
      <c r="A10" s="1" t="s">
        <v>22</v>
      </c>
    </row>
    <row r="12" spans="1:17" x14ac:dyDescent="0.55000000000000004">
      <c r="A12" s="1" t="s">
        <v>23</v>
      </c>
    </row>
    <row r="13" spans="1:17" x14ac:dyDescent="0.55000000000000004">
      <c r="A13" s="37" t="s">
        <v>39</v>
      </c>
      <c r="B13" s="1" t="s">
        <v>45</v>
      </c>
    </row>
    <row r="14" spans="1:17" x14ac:dyDescent="0.55000000000000004">
      <c r="A14" s="37" t="s">
        <v>46</v>
      </c>
      <c r="B14" s="1" t="s">
        <v>47</v>
      </c>
    </row>
    <row r="15" spans="1:17" x14ac:dyDescent="0.55000000000000004">
      <c r="A15" s="38" t="s">
        <v>39</v>
      </c>
      <c r="B15" s="1" t="s">
        <v>24</v>
      </c>
    </row>
    <row r="16" spans="1:17" ht="16.5" x14ac:dyDescent="0.55000000000000004">
      <c r="A16" s="37"/>
      <c r="B16" s="1" t="s">
        <v>25</v>
      </c>
    </row>
    <row r="17" spans="1:2" x14ac:dyDescent="0.55000000000000004">
      <c r="A17" s="38" t="s">
        <v>39</v>
      </c>
      <c r="B17" s="1" t="s">
        <v>72</v>
      </c>
    </row>
    <row r="18" spans="1:2" x14ac:dyDescent="0.55000000000000004">
      <c r="A18" s="37"/>
      <c r="B18" s="1" t="s">
        <v>26</v>
      </c>
    </row>
    <row r="19" spans="1:2" x14ac:dyDescent="0.55000000000000004">
      <c r="A19" s="38" t="s">
        <v>39</v>
      </c>
      <c r="B19" s="1" t="s">
        <v>27</v>
      </c>
    </row>
    <row r="20" spans="1:2" x14ac:dyDescent="0.55000000000000004">
      <c r="A20" s="37"/>
      <c r="B20" s="1" t="s">
        <v>28</v>
      </c>
    </row>
    <row r="21" spans="1:2" x14ac:dyDescent="0.55000000000000004">
      <c r="A21" s="38" t="s">
        <v>39</v>
      </c>
      <c r="B21" s="1" t="s">
        <v>40</v>
      </c>
    </row>
    <row r="22" spans="1:2" x14ac:dyDescent="0.55000000000000004">
      <c r="A22" s="21"/>
    </row>
    <row r="23" spans="1:2" x14ac:dyDescent="0.55000000000000004">
      <c r="A23" s="21" t="s">
        <v>51</v>
      </c>
    </row>
    <row r="24" spans="1:2" x14ac:dyDescent="0.55000000000000004">
      <c r="A24" s="21" t="s">
        <v>52</v>
      </c>
    </row>
    <row r="25" spans="1:2" x14ac:dyDescent="0.55000000000000004">
      <c r="A25" s="21" t="s">
        <v>53</v>
      </c>
    </row>
    <row r="27" spans="1:2" x14ac:dyDescent="0.55000000000000004">
      <c r="A27" s="1" t="s">
        <v>48</v>
      </c>
    </row>
    <row r="28" spans="1:2" x14ac:dyDescent="0.55000000000000004">
      <c r="A28" s="1" t="s">
        <v>49</v>
      </c>
    </row>
    <row r="29" spans="1:2" x14ac:dyDescent="0.55000000000000004">
      <c r="A29" s="1" t="s">
        <v>50</v>
      </c>
    </row>
    <row r="31" spans="1:2" x14ac:dyDescent="0.55000000000000004">
      <c r="A31" s="1" t="s">
        <v>60</v>
      </c>
    </row>
    <row r="32" spans="1:2" x14ac:dyDescent="0.55000000000000004">
      <c r="A32" s="1" t="s">
        <v>61</v>
      </c>
    </row>
    <row r="33" spans="1:9" x14ac:dyDescent="0.55000000000000004">
      <c r="A33" s="1" t="s">
        <v>62</v>
      </c>
    </row>
    <row r="35" spans="1:9" x14ac:dyDescent="0.55000000000000004">
      <c r="A35" s="1" t="s">
        <v>71</v>
      </c>
    </row>
    <row r="36" spans="1:9" x14ac:dyDescent="0.55000000000000004">
      <c r="A36" s="1" t="s">
        <v>63</v>
      </c>
    </row>
    <row r="37" spans="1:9" x14ac:dyDescent="0.55000000000000004">
      <c r="A37" s="1" t="s">
        <v>64</v>
      </c>
    </row>
    <row r="39" spans="1:9" x14ac:dyDescent="0.55000000000000004">
      <c r="A39" s="1" t="s">
        <v>54</v>
      </c>
    </row>
    <row r="40" spans="1:9" x14ac:dyDescent="0.55000000000000004">
      <c r="A40" s="1" t="s">
        <v>55</v>
      </c>
    </row>
    <row r="41" spans="1:9" x14ac:dyDescent="0.55000000000000004">
      <c r="A41" s="1" t="s">
        <v>56</v>
      </c>
    </row>
    <row r="42" spans="1:9" s="56" customFormat="1" x14ac:dyDescent="0.55000000000000004">
      <c r="A42" s="1" t="s">
        <v>57</v>
      </c>
      <c r="B42" s="1"/>
      <c r="C42" s="1"/>
      <c r="D42" s="1"/>
      <c r="E42" s="1"/>
      <c r="F42" s="1"/>
      <c r="G42" s="1"/>
      <c r="H42" s="1"/>
      <c r="I42" s="1"/>
    </row>
    <row r="43" spans="1:9" x14ac:dyDescent="0.55000000000000004">
      <c r="A43" s="1" t="s">
        <v>58</v>
      </c>
    </row>
    <row r="44" spans="1:9" x14ac:dyDescent="0.55000000000000004">
      <c r="A44" s="1" t="s">
        <v>59</v>
      </c>
    </row>
    <row r="46" spans="1:9" x14ac:dyDescent="0.55000000000000004">
      <c r="A46" s="1" t="s">
        <v>29</v>
      </c>
    </row>
    <row r="47" spans="1:9" x14ac:dyDescent="0.55000000000000004">
      <c r="A47" s="1" t="s">
        <v>30</v>
      </c>
    </row>
    <row r="48" spans="1:9" x14ac:dyDescent="0.55000000000000004">
      <c r="A48" s="1" t="s">
        <v>31</v>
      </c>
    </row>
    <row r="49" spans="1:1" x14ac:dyDescent="0.55000000000000004">
      <c r="A49" s="1" t="s">
        <v>17</v>
      </c>
    </row>
  </sheetData>
  <mergeCells count="4">
    <mergeCell ref="A1:I1"/>
    <mergeCell ref="A2:I2"/>
    <mergeCell ref="A4:I4"/>
    <mergeCell ref="A3:I3"/>
  </mergeCells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DO28"/>
  <sheetViews>
    <sheetView showGridLines="0" zoomScaleNormal="100" workbookViewId="0">
      <selection activeCell="AA5" sqref="AA5:AB5"/>
    </sheetView>
  </sheetViews>
  <sheetFormatPr defaultColWidth="9.1640625" defaultRowHeight="14.4" x14ac:dyDescent="0.55000000000000004"/>
  <cols>
    <col min="1" max="1" width="8" style="4" bestFit="1" customWidth="1"/>
    <col min="2" max="2" width="7.5546875" style="4" bestFit="1" customWidth="1"/>
    <col min="3" max="3" width="7.5546875" style="4" customWidth="1"/>
    <col min="4" max="4" width="8.1640625" style="4" bestFit="1" customWidth="1"/>
    <col min="5" max="5" width="1.5546875" style="4" customWidth="1"/>
    <col min="6" max="25" width="6.5546875" style="4" customWidth="1"/>
    <col min="26" max="26" width="1.5546875" style="4" customWidth="1"/>
    <col min="27" max="67" width="9.1640625" style="4"/>
    <col min="68" max="69" width="1.5546875" style="4" customWidth="1"/>
    <col min="70" max="109" width="6.5546875" style="4" customWidth="1"/>
    <col min="110" max="110" width="9.1640625" style="4" customWidth="1"/>
    <col min="111" max="111" width="4" style="4" customWidth="1"/>
    <col min="112" max="116" width="9.1640625" style="4"/>
    <col min="117" max="117" width="10.5546875" style="4" bestFit="1" customWidth="1"/>
    <col min="118" max="16384" width="9.1640625" style="4"/>
  </cols>
  <sheetData>
    <row r="1" spans="1:119" x14ac:dyDescent="0.55000000000000004">
      <c r="F1" s="84" t="s">
        <v>15</v>
      </c>
      <c r="G1" s="85"/>
      <c r="H1" s="85"/>
      <c r="I1" s="85"/>
      <c r="J1" s="85"/>
      <c r="K1" s="85"/>
      <c r="L1" s="85"/>
      <c r="M1" s="85"/>
      <c r="N1" s="85"/>
      <c r="O1" s="85"/>
      <c r="P1" s="85"/>
      <c r="Q1" s="86"/>
      <c r="AA1" s="14"/>
      <c r="AB1" s="17"/>
      <c r="DF1" s="74"/>
      <c r="DG1" s="81" t="s">
        <v>41</v>
      </c>
      <c r="DH1" s="82"/>
      <c r="DI1" s="82"/>
      <c r="DJ1" s="82"/>
      <c r="DK1" s="82"/>
      <c r="DL1" s="82"/>
      <c r="DM1" s="83"/>
    </row>
    <row r="2" spans="1:119" x14ac:dyDescent="0.55000000000000004">
      <c r="A2" s="5" t="s">
        <v>44</v>
      </c>
      <c r="B2" s="59">
        <v>10</v>
      </c>
      <c r="F2" s="75" t="s">
        <v>14</v>
      </c>
      <c r="G2" s="76"/>
      <c r="H2" s="76"/>
      <c r="I2" s="76"/>
      <c r="J2" s="76"/>
      <c r="K2" s="77"/>
      <c r="L2" s="16"/>
      <c r="AA2" s="14"/>
      <c r="AB2" s="17"/>
      <c r="DF2" s="74"/>
      <c r="DG2" s="44"/>
      <c r="DH2" s="27"/>
      <c r="DI2" s="27"/>
      <c r="DJ2" s="27"/>
      <c r="DK2" s="27"/>
      <c r="DL2" s="27"/>
      <c r="DM2" s="32"/>
    </row>
    <row r="3" spans="1:119" x14ac:dyDescent="0.55000000000000004">
      <c r="A3" s="5" t="s">
        <v>16</v>
      </c>
      <c r="B3" s="58">
        <v>3</v>
      </c>
      <c r="M3" s="13"/>
      <c r="N3" s="13"/>
      <c r="O3" s="13"/>
      <c r="P3" s="13"/>
      <c r="Q3" s="13"/>
      <c r="R3" s="13"/>
      <c r="S3" s="13"/>
      <c r="T3" s="13"/>
      <c r="U3" s="13"/>
      <c r="V3" s="13"/>
      <c r="AA3" s="14"/>
      <c r="AB3" s="17"/>
      <c r="DF3" s="15"/>
      <c r="DG3" s="28" t="s">
        <v>16</v>
      </c>
      <c r="DH3" s="42">
        <f t="array" aca="1" ref="DH3" ca="1">MMULT(MMULT(TRANSPOSE(Ell),MINVERSE(Cov)),ExpRet)</f>
        <v>21.170748828578546</v>
      </c>
      <c r="DI3" s="27"/>
      <c r="DJ3" s="40">
        <f ca="1">MAX(ER_P1,ER_P2,ER_P3,ER_P4)</f>
        <v>0.13325488771014563</v>
      </c>
      <c r="DK3" s="27"/>
      <c r="DL3" s="27"/>
      <c r="DM3" s="32"/>
    </row>
    <row r="4" spans="1:119" ht="18" customHeight="1" x14ac:dyDescent="0.75">
      <c r="A4" s="36" t="s">
        <v>12</v>
      </c>
      <c r="B4" s="49">
        <v>0.02</v>
      </c>
      <c r="F4" s="13"/>
      <c r="G4" s="13"/>
      <c r="H4" s="13"/>
      <c r="I4" s="13"/>
      <c r="J4" s="13"/>
      <c r="R4" s="13"/>
      <c r="S4" s="13"/>
      <c r="T4" s="13"/>
      <c r="U4" s="13"/>
      <c r="V4" s="13"/>
      <c r="AA4" s="78" t="s">
        <v>97</v>
      </c>
      <c r="AB4" s="78"/>
      <c r="DF4" s="15"/>
      <c r="DG4" s="28" t="s">
        <v>32</v>
      </c>
      <c r="DH4" s="42">
        <f t="array" aca="1" ref="DH4" ca="1">MMULT(MMULT(TRANSPOSE(ExpRet),MINVERSE(Cov)),ExpRet)</f>
        <v>1.6738327995096987</v>
      </c>
      <c r="DI4" s="27"/>
      <c r="DJ4" s="41">
        <f ca="1">MIN(ER_P0,ER_P0A)</f>
        <v>7.0117252093718607E-2</v>
      </c>
      <c r="DK4" s="27"/>
      <c r="DL4" s="27"/>
      <c r="DM4" s="32"/>
    </row>
    <row r="5" spans="1:119" ht="18" customHeight="1" x14ac:dyDescent="0.55000000000000004">
      <c r="A5" s="5" t="s">
        <v>38</v>
      </c>
      <c r="B5" s="48">
        <v>0.25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AA5" s="87" t="s">
        <v>104</v>
      </c>
      <c r="AB5" s="87"/>
      <c r="DG5" s="28" t="s">
        <v>33</v>
      </c>
      <c r="DH5" s="42">
        <f t="array" aca="1" ref="DH5" ca="1">MMULT(MMULT(TRANSPOSE(Ell),MINVERSE(Cov)),Ell)</f>
        <v>301.93709868489589</v>
      </c>
      <c r="DI5" s="27"/>
      <c r="DJ5" s="41">
        <f ca="1">DJ4-(DJ3-DJ4)</f>
        <v>6.9796164772915892E-3</v>
      </c>
      <c r="DK5" s="27"/>
      <c r="DL5" s="27"/>
      <c r="DM5" s="32"/>
    </row>
    <row r="6" spans="1:119" ht="18" customHeight="1" x14ac:dyDescent="0.55000000000000004">
      <c r="DG6" s="28" t="s">
        <v>34</v>
      </c>
      <c r="DH6" s="43">
        <f ca="1">DH4*DH5-DH3^2</f>
        <v>57.191613204815553</v>
      </c>
      <c r="DI6" s="27"/>
      <c r="DJ6" s="41">
        <f ca="1">(DJ3-DJ5)/19</f>
        <v>6.646066906992318E-3</v>
      </c>
      <c r="DK6" s="27"/>
      <c r="DL6" s="27"/>
      <c r="DM6" s="32"/>
    </row>
    <row r="7" spans="1:119" ht="16.8" x14ac:dyDescent="0.75">
      <c r="F7" s="78" t="s">
        <v>2</v>
      </c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AA7" s="78" t="s">
        <v>8</v>
      </c>
      <c r="AB7" s="78"/>
      <c r="BR7" s="79" t="s">
        <v>11</v>
      </c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 t="s">
        <v>9</v>
      </c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  <c r="DB7" s="80"/>
      <c r="DC7" s="80"/>
      <c r="DD7" s="80"/>
      <c r="DE7" s="80"/>
      <c r="DG7" s="33"/>
      <c r="DH7" s="27"/>
      <c r="DI7" s="27"/>
      <c r="DJ7" s="27"/>
      <c r="DK7" s="27"/>
      <c r="DL7" s="73" t="s">
        <v>35</v>
      </c>
      <c r="DM7" s="73"/>
    </row>
    <row r="8" spans="1:119" ht="14.7" x14ac:dyDescent="0.55000000000000004">
      <c r="A8" s="61" t="s">
        <v>89</v>
      </c>
      <c r="B8" s="61" t="s">
        <v>73</v>
      </c>
      <c r="C8" s="6" t="s">
        <v>3</v>
      </c>
      <c r="D8" s="6" t="s">
        <v>1</v>
      </c>
      <c r="F8" s="6">
        <f t="shared" ref="F8:Y8" ca="1" si="0">OFFSET($A$9,COLUMN(F8)-COLUMN($F$8),0)</f>
        <v>1</v>
      </c>
      <c r="G8" s="6">
        <f t="shared" ca="1" si="0"/>
        <v>2</v>
      </c>
      <c r="H8" s="6">
        <f t="shared" ca="1" si="0"/>
        <v>3</v>
      </c>
      <c r="I8" s="6">
        <f t="shared" ca="1" si="0"/>
        <v>4</v>
      </c>
      <c r="J8" s="6">
        <f t="shared" ca="1" si="0"/>
        <v>5</v>
      </c>
      <c r="K8" s="6">
        <f t="shared" ca="1" si="0"/>
        <v>6</v>
      </c>
      <c r="L8" s="6">
        <f t="shared" ca="1" si="0"/>
        <v>7</v>
      </c>
      <c r="M8" s="6">
        <f t="shared" ca="1" si="0"/>
        <v>8</v>
      </c>
      <c r="N8" s="6">
        <f t="shared" ca="1" si="0"/>
        <v>9</v>
      </c>
      <c r="O8" s="6">
        <f t="shared" ca="1" si="0"/>
        <v>10</v>
      </c>
      <c r="P8" s="6">
        <f t="shared" ca="1" si="0"/>
        <v>11</v>
      </c>
      <c r="Q8" s="6">
        <f t="shared" ca="1" si="0"/>
        <v>12</v>
      </c>
      <c r="R8" s="6">
        <f t="shared" ca="1" si="0"/>
        <v>13</v>
      </c>
      <c r="S8" s="6">
        <f t="shared" ca="1" si="0"/>
        <v>14</v>
      </c>
      <c r="T8" s="6">
        <f t="shared" ca="1" si="0"/>
        <v>15</v>
      </c>
      <c r="U8" s="6">
        <f t="shared" ca="1" si="0"/>
        <v>16</v>
      </c>
      <c r="V8" s="6">
        <f t="shared" ca="1" si="0"/>
        <v>17</v>
      </c>
      <c r="W8" s="6">
        <f t="shared" ca="1" si="0"/>
        <v>18</v>
      </c>
      <c r="X8" s="6">
        <f t="shared" ca="1" si="0"/>
        <v>19</v>
      </c>
      <c r="Y8" s="6">
        <f t="shared" ca="1" si="0"/>
        <v>20</v>
      </c>
      <c r="AA8" s="6" t="s">
        <v>5</v>
      </c>
      <c r="AB8" s="6" t="s">
        <v>6</v>
      </c>
      <c r="BR8" s="7">
        <f t="shared" ref="BR8:CK8" ca="1" si="1">F8</f>
        <v>1</v>
      </c>
      <c r="BS8" s="7">
        <f t="shared" ca="1" si="1"/>
        <v>2</v>
      </c>
      <c r="BT8" s="7">
        <f t="shared" ca="1" si="1"/>
        <v>3</v>
      </c>
      <c r="BU8" s="7">
        <f t="shared" ca="1" si="1"/>
        <v>4</v>
      </c>
      <c r="BV8" s="7">
        <f t="shared" ca="1" si="1"/>
        <v>5</v>
      </c>
      <c r="BW8" s="7">
        <f t="shared" ca="1" si="1"/>
        <v>6</v>
      </c>
      <c r="BX8" s="7">
        <f t="shared" ca="1" si="1"/>
        <v>7</v>
      </c>
      <c r="BY8" s="7">
        <f t="shared" ca="1" si="1"/>
        <v>8</v>
      </c>
      <c r="BZ8" s="7">
        <f t="shared" ca="1" si="1"/>
        <v>9</v>
      </c>
      <c r="CA8" s="7">
        <f t="shared" ca="1" si="1"/>
        <v>10</v>
      </c>
      <c r="CB8" s="7">
        <f t="shared" ca="1" si="1"/>
        <v>11</v>
      </c>
      <c r="CC8" s="7">
        <f t="shared" ca="1" si="1"/>
        <v>12</v>
      </c>
      <c r="CD8" s="7">
        <f t="shared" ca="1" si="1"/>
        <v>13</v>
      </c>
      <c r="CE8" s="7">
        <f t="shared" ca="1" si="1"/>
        <v>14</v>
      </c>
      <c r="CF8" s="7">
        <f t="shared" ca="1" si="1"/>
        <v>15</v>
      </c>
      <c r="CG8" s="7">
        <f t="shared" ca="1" si="1"/>
        <v>16</v>
      </c>
      <c r="CH8" s="7">
        <f t="shared" ca="1" si="1"/>
        <v>17</v>
      </c>
      <c r="CI8" s="7">
        <f t="shared" ca="1" si="1"/>
        <v>18</v>
      </c>
      <c r="CJ8" s="7">
        <f t="shared" ca="1" si="1"/>
        <v>19</v>
      </c>
      <c r="CK8" s="7">
        <f t="shared" ca="1" si="1"/>
        <v>20</v>
      </c>
      <c r="CL8" s="7">
        <f t="shared" ref="CL8:DD8" ca="1" si="2">BR8</f>
        <v>1</v>
      </c>
      <c r="CM8" s="7">
        <f t="shared" ca="1" si="2"/>
        <v>2</v>
      </c>
      <c r="CN8" s="7">
        <f t="shared" ca="1" si="2"/>
        <v>3</v>
      </c>
      <c r="CO8" s="7">
        <f t="shared" ca="1" si="2"/>
        <v>4</v>
      </c>
      <c r="CP8" s="7">
        <f t="shared" ca="1" si="2"/>
        <v>5</v>
      </c>
      <c r="CQ8" s="7">
        <f t="shared" ca="1" si="2"/>
        <v>6</v>
      </c>
      <c r="CR8" s="7">
        <f t="shared" ca="1" si="2"/>
        <v>7</v>
      </c>
      <c r="CS8" s="7">
        <f t="shared" ca="1" si="2"/>
        <v>8</v>
      </c>
      <c r="CT8" s="7">
        <f t="shared" ca="1" si="2"/>
        <v>9</v>
      </c>
      <c r="CU8" s="7">
        <f t="shared" ca="1" si="2"/>
        <v>10</v>
      </c>
      <c r="CV8" s="7">
        <f t="shared" ca="1" si="2"/>
        <v>11</v>
      </c>
      <c r="CW8" s="7">
        <f t="shared" ca="1" si="2"/>
        <v>12</v>
      </c>
      <c r="CX8" s="7">
        <f t="shared" ca="1" si="2"/>
        <v>13</v>
      </c>
      <c r="CY8" s="7">
        <f t="shared" ca="1" si="2"/>
        <v>14</v>
      </c>
      <c r="CZ8" s="7">
        <f t="shared" ca="1" si="2"/>
        <v>15</v>
      </c>
      <c r="DA8" s="7">
        <f t="shared" ca="1" si="2"/>
        <v>16</v>
      </c>
      <c r="DB8" s="7">
        <f t="shared" ca="1" si="2"/>
        <v>17</v>
      </c>
      <c r="DC8" s="7">
        <f t="shared" ca="1" si="2"/>
        <v>18</v>
      </c>
      <c r="DD8" s="7">
        <f t="shared" ca="1" si="2"/>
        <v>19</v>
      </c>
      <c r="DE8" s="7">
        <f ca="1">CK8</f>
        <v>20</v>
      </c>
      <c r="DG8" s="33"/>
      <c r="DH8" s="27"/>
      <c r="DI8" s="27"/>
      <c r="DJ8" s="53" t="s">
        <v>42</v>
      </c>
      <c r="DK8" s="27"/>
      <c r="DL8" s="29" t="s">
        <v>36</v>
      </c>
      <c r="DM8" s="30" t="s">
        <v>37</v>
      </c>
    </row>
    <row r="9" spans="1:119" x14ac:dyDescent="0.55000000000000004">
      <c r="A9" s="12">
        <v>1</v>
      </c>
      <c r="B9" s="68" t="s">
        <v>100</v>
      </c>
      <c r="C9" s="60">
        <v>0.1</v>
      </c>
      <c r="D9" s="60">
        <v>0.18</v>
      </c>
      <c r="F9" s="50">
        <v>1</v>
      </c>
      <c r="G9" s="51">
        <v>0.25</v>
      </c>
      <c r="H9" s="51">
        <v>0.25</v>
      </c>
      <c r="I9" s="51">
        <v>0.25</v>
      </c>
      <c r="J9" s="51">
        <v>0.25</v>
      </c>
      <c r="K9" s="51">
        <v>0.25</v>
      </c>
      <c r="L9" s="51">
        <v>0.25</v>
      </c>
      <c r="M9" s="51">
        <v>0.25</v>
      </c>
      <c r="N9" s="51">
        <v>0.25</v>
      </c>
      <c r="O9" s="51">
        <v>0.25</v>
      </c>
      <c r="P9" s="51">
        <v>0.2</v>
      </c>
      <c r="Q9" s="51">
        <v>0.2</v>
      </c>
      <c r="R9" s="51">
        <v>0.2</v>
      </c>
      <c r="S9" s="51">
        <v>0.2</v>
      </c>
      <c r="T9" s="51">
        <v>0.2</v>
      </c>
      <c r="U9" s="51">
        <v>0.2</v>
      </c>
      <c r="V9" s="51">
        <v>0.2</v>
      </c>
      <c r="W9" s="51">
        <v>0.2</v>
      </c>
      <c r="X9" s="51">
        <v>0.2</v>
      </c>
      <c r="Y9" s="51">
        <v>0.2</v>
      </c>
      <c r="AA9" s="49">
        <v>-0.2</v>
      </c>
      <c r="AB9" s="49">
        <v>0.2</v>
      </c>
      <c r="BR9" s="9">
        <f t="shared" ref="BR9:CA18" ca="1" si="3">OFFSET($D$8,BR$8,0)*OFFSET($D$8,$A9,0)</f>
        <v>3.2399999999999998E-2</v>
      </c>
      <c r="BS9" s="9">
        <f t="shared" ca="1" si="3"/>
        <v>3.5999999999999997E-2</v>
      </c>
      <c r="BT9" s="9">
        <f t="shared" ca="1" si="3"/>
        <v>2.1599999999999998E-2</v>
      </c>
      <c r="BU9" s="9">
        <f t="shared" ca="1" si="3"/>
        <v>1.0799999999999999E-2</v>
      </c>
      <c r="BV9" s="9">
        <f t="shared" ca="1" si="3"/>
        <v>3.5999999999999997E-2</v>
      </c>
      <c r="BW9" s="9">
        <f t="shared" ca="1" si="3"/>
        <v>3.0600000000000002E-2</v>
      </c>
      <c r="BX9" s="9">
        <f t="shared" ca="1" si="3"/>
        <v>4.1399999999999999E-2</v>
      </c>
      <c r="BY9" s="9">
        <f t="shared" ca="1" si="3"/>
        <v>3.5999999999999997E-2</v>
      </c>
      <c r="BZ9" s="9">
        <f t="shared" ca="1" si="3"/>
        <v>5.3999999999999999E-2</v>
      </c>
      <c r="CA9" s="9">
        <f t="shared" ca="1" si="3"/>
        <v>3.5999999999999997E-2</v>
      </c>
      <c r="CB9" s="9">
        <f t="shared" ref="CB9:CK18" ca="1" si="4">OFFSET($D$8,CB$8,0)*OFFSET($D$8,$A9,0)</f>
        <v>3.4200000000000001E-2</v>
      </c>
      <c r="CC9" s="9">
        <f t="shared" ca="1" si="4"/>
        <v>4.8600000000000004E-2</v>
      </c>
      <c r="CD9" s="9">
        <f t="shared" ca="1" si="4"/>
        <v>3.5999999999999997E-2</v>
      </c>
      <c r="CE9" s="9">
        <f t="shared" ca="1" si="4"/>
        <v>4.6800000000000001E-2</v>
      </c>
      <c r="CF9" s="9">
        <f t="shared" ca="1" si="4"/>
        <v>3.7619999999999994E-2</v>
      </c>
      <c r="CG9" s="9">
        <f t="shared" ca="1" si="4"/>
        <v>4.0320000000000002E-2</v>
      </c>
      <c r="CH9" s="9">
        <f t="shared" ca="1" si="4"/>
        <v>3.3299999999999996E-2</v>
      </c>
      <c r="CI9" s="9">
        <f t="shared" ca="1" si="4"/>
        <v>3.0959999999999998E-2</v>
      </c>
      <c r="CJ9" s="9">
        <f t="shared" ca="1" si="4"/>
        <v>4.3739999999999994E-2</v>
      </c>
      <c r="CK9" s="9">
        <f t="shared" ca="1" si="4"/>
        <v>3.9059999999999997E-2</v>
      </c>
      <c r="CL9" s="9">
        <f t="shared" ref="CL9:CL28" ca="1" si="5">F9*BR9</f>
        <v>3.2399999999999998E-2</v>
      </c>
      <c r="CM9" s="9">
        <f t="shared" ref="CM9:CM28" ca="1" si="6">G9*BS9</f>
        <v>8.9999999999999993E-3</v>
      </c>
      <c r="CN9" s="9">
        <f t="shared" ref="CN9:CN28" ca="1" si="7">H9*BT9</f>
        <v>5.3999999999999994E-3</v>
      </c>
      <c r="CO9" s="9">
        <f t="shared" ref="CO9:CO28" ca="1" si="8">I9*BU9</f>
        <v>2.6999999999999997E-3</v>
      </c>
      <c r="CP9" s="9">
        <f t="shared" ref="CP9:CP28" ca="1" si="9">J9*BV9</f>
        <v>8.9999999999999993E-3</v>
      </c>
      <c r="CQ9" s="9">
        <f t="shared" ref="CQ9:CQ28" ca="1" si="10">K9*BW9</f>
        <v>7.6500000000000005E-3</v>
      </c>
      <c r="CR9" s="9">
        <f t="shared" ref="CR9:CR28" ca="1" si="11">L9*BX9</f>
        <v>1.035E-2</v>
      </c>
      <c r="CS9" s="9">
        <f t="shared" ref="CS9:CS28" ca="1" si="12">M9*BY9</f>
        <v>8.9999999999999993E-3</v>
      </c>
      <c r="CT9" s="9">
        <f t="shared" ref="CT9:CT28" ca="1" si="13">N9*BZ9</f>
        <v>1.35E-2</v>
      </c>
      <c r="CU9" s="9">
        <f t="shared" ref="CU9:CU28" ca="1" si="14">O9*CA9</f>
        <v>8.9999999999999993E-3</v>
      </c>
      <c r="CV9" s="9">
        <f t="shared" ref="CV9:CV28" ca="1" si="15">P9*CB9</f>
        <v>6.8400000000000006E-3</v>
      </c>
      <c r="CW9" s="9">
        <f t="shared" ref="CW9:CW28" ca="1" si="16">Q9*CC9</f>
        <v>9.7200000000000012E-3</v>
      </c>
      <c r="CX9" s="9">
        <f t="shared" ref="CX9:CX28" ca="1" si="17">R9*CD9</f>
        <v>7.1999999999999998E-3</v>
      </c>
      <c r="CY9" s="9">
        <f t="shared" ref="CY9:CY28" ca="1" si="18">S9*CE9</f>
        <v>9.3600000000000003E-3</v>
      </c>
      <c r="CZ9" s="9">
        <f t="shared" ref="CZ9:CZ28" ca="1" si="19">T9*CF9</f>
        <v>7.5239999999999994E-3</v>
      </c>
      <c r="DA9" s="9">
        <f t="shared" ref="DA9:DA28" ca="1" si="20">U9*CG9</f>
        <v>8.064E-3</v>
      </c>
      <c r="DB9" s="9">
        <f t="shared" ref="DB9:DB28" ca="1" si="21">V9*CH9</f>
        <v>6.6599999999999993E-3</v>
      </c>
      <c r="DC9" s="9">
        <f t="shared" ref="DC9:DC28" ca="1" si="22">W9*CI9</f>
        <v>6.1919999999999996E-3</v>
      </c>
      <c r="DD9" s="9">
        <f t="shared" ref="DD9:DD28" ca="1" si="23">X9*CJ9</f>
        <v>8.7479999999999988E-3</v>
      </c>
      <c r="DE9" s="9">
        <f t="shared" ref="DE9:DE28" ca="1" si="24">Y9*CK9</f>
        <v>7.8119999999999995E-3</v>
      </c>
      <c r="DG9" s="33"/>
      <c r="DH9" s="27"/>
      <c r="DI9" s="27"/>
      <c r="DJ9" s="39">
        <v>1</v>
      </c>
      <c r="DK9" s="27"/>
      <c r="DL9" s="31">
        <f ca="1">IF(ABS($DH$6)&lt;0.000000001,$C$9,DJ5)</f>
        <v>6.9796164772915892E-3</v>
      </c>
      <c r="DM9" s="31">
        <f t="shared" ref="DM9:DM28" ca="1" si="25">IF(ABS($DH$6)&lt;0.00000001,$D$9,SQRT(($DH$5*DL9^2-2*$DH$3*DL9+$DH$4)/$DH$6))</f>
        <v>0.1560671890783126</v>
      </c>
      <c r="DO9" s="54"/>
    </row>
    <row r="10" spans="1:119" x14ac:dyDescent="0.55000000000000004">
      <c r="A10" s="12">
        <v>2</v>
      </c>
      <c r="B10" s="68" t="s">
        <v>101</v>
      </c>
      <c r="C10" s="60">
        <v>0.11</v>
      </c>
      <c r="D10" s="60">
        <v>0.2</v>
      </c>
      <c r="F10" s="52">
        <f ca="1">OFFSET(OFFSET($F$9,F$8-1,F$8-1),0,ROW(F10)-ROW(F$8)-F$8)</f>
        <v>0.25</v>
      </c>
      <c r="G10" s="50">
        <v>1</v>
      </c>
      <c r="H10" s="51">
        <v>0.25</v>
      </c>
      <c r="I10" s="51">
        <v>0.25</v>
      </c>
      <c r="J10" s="51">
        <v>0.25</v>
      </c>
      <c r="K10" s="51">
        <v>0.25</v>
      </c>
      <c r="L10" s="51">
        <v>0.25</v>
      </c>
      <c r="M10" s="51">
        <v>0.25</v>
      </c>
      <c r="N10" s="51">
        <v>0.25</v>
      </c>
      <c r="O10" s="51">
        <v>0.25</v>
      </c>
      <c r="P10" s="51">
        <v>0.1</v>
      </c>
      <c r="Q10" s="51">
        <v>0.2</v>
      </c>
      <c r="R10" s="51">
        <v>0.2</v>
      </c>
      <c r="S10" s="51">
        <v>0.05</v>
      </c>
      <c r="T10" s="51">
        <v>0.2</v>
      </c>
      <c r="U10" s="51">
        <v>0.2</v>
      </c>
      <c r="V10" s="51">
        <v>0.2</v>
      </c>
      <c r="W10" s="51">
        <v>0.2</v>
      </c>
      <c r="X10" s="51">
        <v>0.2</v>
      </c>
      <c r="Y10" s="51">
        <v>0.2</v>
      </c>
      <c r="AA10" s="60">
        <v>-0.2</v>
      </c>
      <c r="AB10" s="60">
        <v>0.2</v>
      </c>
      <c r="BR10" s="9">
        <f t="shared" ca="1" si="3"/>
        <v>3.5999999999999997E-2</v>
      </c>
      <c r="BS10" s="9">
        <f t="shared" ca="1" si="3"/>
        <v>4.0000000000000008E-2</v>
      </c>
      <c r="BT10" s="9">
        <f t="shared" ca="1" si="3"/>
        <v>2.4E-2</v>
      </c>
      <c r="BU10" s="9">
        <f t="shared" ca="1" si="3"/>
        <v>1.2E-2</v>
      </c>
      <c r="BV10" s="9">
        <f t="shared" ca="1" si="3"/>
        <v>4.0000000000000008E-2</v>
      </c>
      <c r="BW10" s="9">
        <f t="shared" ca="1" si="3"/>
        <v>3.4000000000000002E-2</v>
      </c>
      <c r="BX10" s="9">
        <f t="shared" ca="1" si="3"/>
        <v>4.6000000000000006E-2</v>
      </c>
      <c r="BY10" s="9">
        <f t="shared" ca="1" si="3"/>
        <v>4.0000000000000008E-2</v>
      </c>
      <c r="BZ10" s="9">
        <f t="shared" ca="1" si="3"/>
        <v>0.06</v>
      </c>
      <c r="CA10" s="9">
        <f t="shared" ca="1" si="3"/>
        <v>4.0000000000000008E-2</v>
      </c>
      <c r="CB10" s="9">
        <f t="shared" ca="1" si="4"/>
        <v>3.8000000000000006E-2</v>
      </c>
      <c r="CC10" s="9">
        <f t="shared" ca="1" si="4"/>
        <v>5.4000000000000006E-2</v>
      </c>
      <c r="CD10" s="9">
        <f t="shared" ca="1" si="4"/>
        <v>4.0000000000000008E-2</v>
      </c>
      <c r="CE10" s="9">
        <f t="shared" ca="1" si="4"/>
        <v>5.2000000000000005E-2</v>
      </c>
      <c r="CF10" s="9">
        <f t="shared" ca="1" si="4"/>
        <v>4.1800000000000004E-2</v>
      </c>
      <c r="CG10" s="9">
        <f t="shared" ca="1" si="4"/>
        <v>4.4800000000000006E-2</v>
      </c>
      <c r="CH10" s="9">
        <f t="shared" ca="1" si="4"/>
        <v>3.6999999999999998E-2</v>
      </c>
      <c r="CI10" s="9">
        <f t="shared" ca="1" si="4"/>
        <v>3.44E-2</v>
      </c>
      <c r="CJ10" s="9">
        <f t="shared" ca="1" si="4"/>
        <v>4.8600000000000004E-2</v>
      </c>
      <c r="CK10" s="9">
        <f t="shared" ca="1" si="4"/>
        <v>4.3400000000000001E-2</v>
      </c>
      <c r="CL10" s="9">
        <f t="shared" ca="1" si="5"/>
        <v>8.9999999999999993E-3</v>
      </c>
      <c r="CM10" s="9">
        <f t="shared" ca="1" si="6"/>
        <v>4.0000000000000008E-2</v>
      </c>
      <c r="CN10" s="9">
        <f t="shared" ca="1" si="7"/>
        <v>6.0000000000000001E-3</v>
      </c>
      <c r="CO10" s="9">
        <f t="shared" ca="1" si="8"/>
        <v>3.0000000000000001E-3</v>
      </c>
      <c r="CP10" s="9">
        <f t="shared" ca="1" si="9"/>
        <v>1.0000000000000002E-2</v>
      </c>
      <c r="CQ10" s="9">
        <f t="shared" ca="1" si="10"/>
        <v>8.5000000000000006E-3</v>
      </c>
      <c r="CR10" s="9">
        <f t="shared" ca="1" si="11"/>
        <v>1.1500000000000002E-2</v>
      </c>
      <c r="CS10" s="9">
        <f t="shared" ca="1" si="12"/>
        <v>1.0000000000000002E-2</v>
      </c>
      <c r="CT10" s="9">
        <f t="shared" ca="1" si="13"/>
        <v>1.4999999999999999E-2</v>
      </c>
      <c r="CU10" s="9">
        <f t="shared" ca="1" si="14"/>
        <v>1.0000000000000002E-2</v>
      </c>
      <c r="CV10" s="9">
        <f t="shared" ca="1" si="15"/>
        <v>3.8000000000000009E-3</v>
      </c>
      <c r="CW10" s="9">
        <f t="shared" ca="1" si="16"/>
        <v>1.0800000000000002E-2</v>
      </c>
      <c r="CX10" s="9">
        <f t="shared" ca="1" si="17"/>
        <v>8.0000000000000019E-3</v>
      </c>
      <c r="CY10" s="9">
        <f t="shared" ca="1" si="18"/>
        <v>2.6000000000000003E-3</v>
      </c>
      <c r="CZ10" s="9">
        <f t="shared" ca="1" si="19"/>
        <v>8.3600000000000011E-3</v>
      </c>
      <c r="DA10" s="9">
        <f t="shared" ca="1" si="20"/>
        <v>8.9600000000000009E-3</v>
      </c>
      <c r="DB10" s="9">
        <f t="shared" ca="1" si="21"/>
        <v>7.4000000000000003E-3</v>
      </c>
      <c r="DC10" s="9">
        <f t="shared" ca="1" si="22"/>
        <v>6.8800000000000007E-3</v>
      </c>
      <c r="DD10" s="9">
        <f t="shared" ca="1" si="23"/>
        <v>9.7200000000000012E-3</v>
      </c>
      <c r="DE10" s="9">
        <f t="shared" ca="1" si="24"/>
        <v>8.6800000000000002E-3</v>
      </c>
      <c r="DG10" s="33"/>
      <c r="DH10" s="27"/>
      <c r="DI10" s="27"/>
      <c r="DJ10" s="39">
        <v>1</v>
      </c>
      <c r="DK10" s="27"/>
      <c r="DL10" s="31">
        <f t="shared" ref="DL10:DL28" ca="1" si="26">IF(ABS($DH$6)&lt;0.000000001,$C$9,DL9+$DJ$6)</f>
        <v>1.3625683384283906E-2</v>
      </c>
      <c r="DM10" s="31">
        <f t="shared" ca="1" si="25"/>
        <v>0.14198440321115113</v>
      </c>
      <c r="DO10" s="54"/>
    </row>
    <row r="11" spans="1:119" x14ac:dyDescent="0.55000000000000004">
      <c r="A11" s="12">
        <v>3</v>
      </c>
      <c r="B11" s="68" t="s">
        <v>102</v>
      </c>
      <c r="C11" s="60">
        <v>0.08</v>
      </c>
      <c r="D11" s="60">
        <v>0.12</v>
      </c>
      <c r="F11" s="52">
        <f t="shared" ref="F11:U28" ca="1" si="27">OFFSET(OFFSET($F$9,F$8-1,F$8-1),0,ROW(F11)-ROW(F$8)-F$8)</f>
        <v>0.25</v>
      </c>
      <c r="G11" s="52">
        <f t="shared" ca="1" si="27"/>
        <v>0.25</v>
      </c>
      <c r="H11" s="50">
        <v>1</v>
      </c>
      <c r="I11" s="51">
        <v>0.25</v>
      </c>
      <c r="J11" s="51">
        <v>0.25</v>
      </c>
      <c r="K11" s="51">
        <v>0.25</v>
      </c>
      <c r="L11" s="51">
        <v>0.25</v>
      </c>
      <c r="M11" s="51">
        <v>0.25</v>
      </c>
      <c r="N11" s="51">
        <v>0.25</v>
      </c>
      <c r="O11" s="51">
        <v>0.25</v>
      </c>
      <c r="P11" s="51">
        <v>0.2</v>
      </c>
      <c r="Q11" s="51">
        <v>0.2</v>
      </c>
      <c r="R11" s="51">
        <v>0.2</v>
      </c>
      <c r="S11" s="51">
        <v>0.2</v>
      </c>
      <c r="T11" s="51">
        <v>0.2</v>
      </c>
      <c r="U11" s="51">
        <v>0.2</v>
      </c>
      <c r="V11" s="51">
        <v>0.2</v>
      </c>
      <c r="W11" s="51">
        <v>0.2</v>
      </c>
      <c r="X11" s="51">
        <v>0.2</v>
      </c>
      <c r="Y11" s="51">
        <v>0.2</v>
      </c>
      <c r="AA11" s="60">
        <v>-0.2</v>
      </c>
      <c r="AB11" s="60">
        <v>0.2</v>
      </c>
      <c r="BR11" s="9">
        <f t="shared" ca="1" si="3"/>
        <v>2.1599999999999998E-2</v>
      </c>
      <c r="BS11" s="9">
        <f t="shared" ca="1" si="3"/>
        <v>2.4E-2</v>
      </c>
      <c r="BT11" s="9">
        <f t="shared" ca="1" si="3"/>
        <v>1.44E-2</v>
      </c>
      <c r="BU11" s="9">
        <f t="shared" ca="1" si="3"/>
        <v>7.1999999999999998E-3</v>
      </c>
      <c r="BV11" s="9">
        <f t="shared" ca="1" si="3"/>
        <v>2.4E-2</v>
      </c>
      <c r="BW11" s="9">
        <f t="shared" ca="1" si="3"/>
        <v>2.0400000000000001E-2</v>
      </c>
      <c r="BX11" s="9">
        <f t="shared" ca="1" si="3"/>
        <v>2.76E-2</v>
      </c>
      <c r="BY11" s="9">
        <f t="shared" ca="1" si="3"/>
        <v>2.4E-2</v>
      </c>
      <c r="BZ11" s="9">
        <f t="shared" ca="1" si="3"/>
        <v>3.5999999999999997E-2</v>
      </c>
      <c r="CA11" s="9">
        <f t="shared" ca="1" si="3"/>
        <v>2.4E-2</v>
      </c>
      <c r="CB11" s="9">
        <f t="shared" ca="1" si="4"/>
        <v>2.2800000000000001E-2</v>
      </c>
      <c r="CC11" s="9">
        <f t="shared" ca="1" si="4"/>
        <v>3.2399999999999998E-2</v>
      </c>
      <c r="CD11" s="9">
        <f t="shared" ca="1" si="4"/>
        <v>2.4E-2</v>
      </c>
      <c r="CE11" s="9">
        <f t="shared" ca="1" si="4"/>
        <v>3.1199999999999999E-2</v>
      </c>
      <c r="CF11" s="9">
        <f t="shared" ca="1" si="4"/>
        <v>2.5079999999999998E-2</v>
      </c>
      <c r="CG11" s="9">
        <f t="shared" ca="1" si="4"/>
        <v>2.6880000000000001E-2</v>
      </c>
      <c r="CH11" s="9">
        <f t="shared" ca="1" si="4"/>
        <v>2.2199999999999998E-2</v>
      </c>
      <c r="CI11" s="9">
        <f t="shared" ca="1" si="4"/>
        <v>2.0639999999999999E-2</v>
      </c>
      <c r="CJ11" s="9">
        <f t="shared" ca="1" si="4"/>
        <v>2.9159999999999998E-2</v>
      </c>
      <c r="CK11" s="9">
        <f t="shared" ca="1" si="4"/>
        <v>2.6039999999999997E-2</v>
      </c>
      <c r="CL11" s="9">
        <f t="shared" ca="1" si="5"/>
        <v>5.3999999999999994E-3</v>
      </c>
      <c r="CM11" s="9">
        <f t="shared" ca="1" si="6"/>
        <v>6.0000000000000001E-3</v>
      </c>
      <c r="CN11" s="9">
        <f t="shared" ca="1" si="7"/>
        <v>1.44E-2</v>
      </c>
      <c r="CO11" s="9">
        <f t="shared" ca="1" si="8"/>
        <v>1.8E-3</v>
      </c>
      <c r="CP11" s="9">
        <f t="shared" ca="1" si="9"/>
        <v>6.0000000000000001E-3</v>
      </c>
      <c r="CQ11" s="9">
        <f t="shared" ca="1" si="10"/>
        <v>5.1000000000000004E-3</v>
      </c>
      <c r="CR11" s="9">
        <f t="shared" ca="1" si="11"/>
        <v>6.8999999999999999E-3</v>
      </c>
      <c r="CS11" s="9">
        <f t="shared" ca="1" si="12"/>
        <v>6.0000000000000001E-3</v>
      </c>
      <c r="CT11" s="9">
        <f t="shared" ca="1" si="13"/>
        <v>8.9999999999999993E-3</v>
      </c>
      <c r="CU11" s="9">
        <f t="shared" ca="1" si="14"/>
        <v>6.0000000000000001E-3</v>
      </c>
      <c r="CV11" s="9">
        <f t="shared" ca="1" si="15"/>
        <v>4.5600000000000007E-3</v>
      </c>
      <c r="CW11" s="9">
        <f t="shared" ca="1" si="16"/>
        <v>6.4799999999999996E-3</v>
      </c>
      <c r="CX11" s="9">
        <f t="shared" ca="1" si="17"/>
        <v>4.8000000000000004E-3</v>
      </c>
      <c r="CY11" s="9">
        <f t="shared" ca="1" si="18"/>
        <v>6.2399999999999999E-3</v>
      </c>
      <c r="CZ11" s="9">
        <f t="shared" ca="1" si="19"/>
        <v>5.0159999999999996E-3</v>
      </c>
      <c r="DA11" s="9">
        <f t="shared" ca="1" si="20"/>
        <v>5.3760000000000006E-3</v>
      </c>
      <c r="DB11" s="9">
        <f t="shared" ca="1" si="21"/>
        <v>4.4399999999999995E-3</v>
      </c>
      <c r="DC11" s="9">
        <f t="shared" ca="1" si="22"/>
        <v>4.1279999999999997E-3</v>
      </c>
      <c r="DD11" s="9">
        <f t="shared" ca="1" si="23"/>
        <v>5.8320000000000004E-3</v>
      </c>
      <c r="DE11" s="9">
        <f t="shared" ca="1" si="24"/>
        <v>5.208E-3</v>
      </c>
      <c r="DG11" s="33"/>
      <c r="DH11" s="27"/>
      <c r="DI11" s="27"/>
      <c r="DJ11" s="39">
        <v>1</v>
      </c>
      <c r="DK11" s="27"/>
      <c r="DL11" s="31">
        <f t="shared" ca="1" si="26"/>
        <v>2.0271750291276223E-2</v>
      </c>
      <c r="DM11" s="31">
        <f t="shared" ca="1" si="25"/>
        <v>0.12817393611040126</v>
      </c>
      <c r="DO11" s="54"/>
    </row>
    <row r="12" spans="1:119" x14ac:dyDescent="0.55000000000000004">
      <c r="A12" s="12">
        <v>4</v>
      </c>
      <c r="B12" s="68" t="s">
        <v>103</v>
      </c>
      <c r="C12" s="60">
        <v>7.0000000000000007E-2</v>
      </c>
      <c r="D12" s="60">
        <v>0.06</v>
      </c>
      <c r="F12" s="52">
        <f t="shared" ca="1" si="27"/>
        <v>0.25</v>
      </c>
      <c r="G12" s="52">
        <f t="shared" ca="1" si="27"/>
        <v>0.25</v>
      </c>
      <c r="H12" s="52">
        <f t="shared" ca="1" si="27"/>
        <v>0.25</v>
      </c>
      <c r="I12" s="50">
        <v>1</v>
      </c>
      <c r="J12" s="51">
        <v>0.25</v>
      </c>
      <c r="K12" s="51">
        <v>0.25</v>
      </c>
      <c r="L12" s="51">
        <v>0.25</v>
      </c>
      <c r="M12" s="51">
        <v>0.25</v>
      </c>
      <c r="N12" s="51">
        <v>0.25</v>
      </c>
      <c r="O12" s="51">
        <v>0.25</v>
      </c>
      <c r="P12" s="51">
        <v>0.2</v>
      </c>
      <c r="Q12" s="51">
        <v>0.2</v>
      </c>
      <c r="R12" s="51">
        <v>0.2</v>
      </c>
      <c r="S12" s="51">
        <v>0.2</v>
      </c>
      <c r="T12" s="51">
        <v>0.2</v>
      </c>
      <c r="U12" s="51">
        <v>0.2</v>
      </c>
      <c r="V12" s="51">
        <v>0.2</v>
      </c>
      <c r="W12" s="51">
        <v>0.2</v>
      </c>
      <c r="X12" s="51">
        <v>0.2</v>
      </c>
      <c r="Y12" s="51">
        <v>0.2</v>
      </c>
      <c r="AA12" s="60">
        <v>-0.2</v>
      </c>
      <c r="AB12" s="60">
        <v>0.2</v>
      </c>
      <c r="BR12" s="9">
        <f t="shared" ca="1" si="3"/>
        <v>1.0799999999999999E-2</v>
      </c>
      <c r="BS12" s="9">
        <f t="shared" ca="1" si="3"/>
        <v>1.2E-2</v>
      </c>
      <c r="BT12" s="9">
        <f t="shared" ca="1" si="3"/>
        <v>7.1999999999999998E-3</v>
      </c>
      <c r="BU12" s="9">
        <f t="shared" ca="1" si="3"/>
        <v>3.5999999999999999E-3</v>
      </c>
      <c r="BV12" s="9">
        <f t="shared" ca="1" si="3"/>
        <v>1.2E-2</v>
      </c>
      <c r="BW12" s="9">
        <f t="shared" ca="1" si="3"/>
        <v>1.0200000000000001E-2</v>
      </c>
      <c r="BX12" s="9">
        <f t="shared" ca="1" si="3"/>
        <v>1.38E-2</v>
      </c>
      <c r="BY12" s="9">
        <f t="shared" ca="1" si="3"/>
        <v>1.2E-2</v>
      </c>
      <c r="BZ12" s="9">
        <f t="shared" ca="1" si="3"/>
        <v>1.7999999999999999E-2</v>
      </c>
      <c r="CA12" s="9">
        <f t="shared" ca="1" si="3"/>
        <v>1.2E-2</v>
      </c>
      <c r="CB12" s="9">
        <f t="shared" ca="1" si="4"/>
        <v>1.14E-2</v>
      </c>
      <c r="CC12" s="9">
        <f t="shared" ca="1" si="4"/>
        <v>1.6199999999999999E-2</v>
      </c>
      <c r="CD12" s="9">
        <f t="shared" ca="1" si="4"/>
        <v>1.2E-2</v>
      </c>
      <c r="CE12" s="9">
        <f t="shared" ca="1" si="4"/>
        <v>1.5599999999999999E-2</v>
      </c>
      <c r="CF12" s="9">
        <f t="shared" ca="1" si="4"/>
        <v>1.2539999999999999E-2</v>
      </c>
      <c r="CG12" s="9">
        <f t="shared" ca="1" si="4"/>
        <v>1.3440000000000001E-2</v>
      </c>
      <c r="CH12" s="9">
        <f t="shared" ca="1" si="4"/>
        <v>1.1099999999999999E-2</v>
      </c>
      <c r="CI12" s="9">
        <f t="shared" ca="1" si="4"/>
        <v>1.0319999999999999E-2</v>
      </c>
      <c r="CJ12" s="9">
        <f t="shared" ca="1" si="4"/>
        <v>1.4579999999999999E-2</v>
      </c>
      <c r="CK12" s="9">
        <f t="shared" ca="1" si="4"/>
        <v>1.3019999999999999E-2</v>
      </c>
      <c r="CL12" s="9">
        <f t="shared" ca="1" si="5"/>
        <v>2.6999999999999997E-3</v>
      </c>
      <c r="CM12" s="9">
        <f t="shared" ca="1" si="6"/>
        <v>3.0000000000000001E-3</v>
      </c>
      <c r="CN12" s="9">
        <f t="shared" ca="1" si="7"/>
        <v>1.8E-3</v>
      </c>
      <c r="CO12" s="9">
        <f t="shared" ca="1" si="8"/>
        <v>3.5999999999999999E-3</v>
      </c>
      <c r="CP12" s="9">
        <f t="shared" ca="1" si="9"/>
        <v>3.0000000000000001E-3</v>
      </c>
      <c r="CQ12" s="9">
        <f t="shared" ca="1" si="10"/>
        <v>2.5500000000000002E-3</v>
      </c>
      <c r="CR12" s="9">
        <f t="shared" ca="1" si="11"/>
        <v>3.4499999999999999E-3</v>
      </c>
      <c r="CS12" s="9">
        <f t="shared" ca="1" si="12"/>
        <v>3.0000000000000001E-3</v>
      </c>
      <c r="CT12" s="9">
        <f t="shared" ca="1" si="13"/>
        <v>4.4999999999999997E-3</v>
      </c>
      <c r="CU12" s="9">
        <f t="shared" ca="1" si="14"/>
        <v>3.0000000000000001E-3</v>
      </c>
      <c r="CV12" s="9">
        <f t="shared" ca="1" si="15"/>
        <v>2.2800000000000003E-3</v>
      </c>
      <c r="CW12" s="9">
        <f t="shared" ca="1" si="16"/>
        <v>3.2399999999999998E-3</v>
      </c>
      <c r="CX12" s="9">
        <f t="shared" ca="1" si="17"/>
        <v>2.4000000000000002E-3</v>
      </c>
      <c r="CY12" s="9">
        <f t="shared" ca="1" si="18"/>
        <v>3.1199999999999999E-3</v>
      </c>
      <c r="CZ12" s="9">
        <f t="shared" ca="1" si="19"/>
        <v>2.5079999999999998E-3</v>
      </c>
      <c r="DA12" s="9">
        <f t="shared" ca="1" si="20"/>
        <v>2.6880000000000003E-3</v>
      </c>
      <c r="DB12" s="9">
        <f t="shared" ca="1" si="21"/>
        <v>2.2199999999999998E-3</v>
      </c>
      <c r="DC12" s="9">
        <f t="shared" ca="1" si="22"/>
        <v>2.0639999999999999E-3</v>
      </c>
      <c r="DD12" s="9">
        <f t="shared" ca="1" si="23"/>
        <v>2.9160000000000002E-3</v>
      </c>
      <c r="DE12" s="9">
        <f t="shared" ca="1" si="24"/>
        <v>2.604E-3</v>
      </c>
      <c r="DG12" s="33"/>
      <c r="DH12" s="27"/>
      <c r="DI12" s="27"/>
      <c r="DJ12" s="39">
        <v>1</v>
      </c>
      <c r="DK12" s="27"/>
      <c r="DL12" s="31">
        <f t="shared" ca="1" si="26"/>
        <v>2.6917817198268541E-2</v>
      </c>
      <c r="DM12" s="31">
        <f t="shared" ca="1" si="25"/>
        <v>0.11473416638135842</v>
      </c>
      <c r="DO12" s="54"/>
    </row>
    <row r="13" spans="1:119" x14ac:dyDescent="0.55000000000000004">
      <c r="A13" s="12">
        <v>5</v>
      </c>
      <c r="B13" s="68" t="s">
        <v>105</v>
      </c>
      <c r="C13" s="60">
        <v>0.113</v>
      </c>
      <c r="D13" s="60">
        <v>0.2</v>
      </c>
      <c r="F13" s="52">
        <f t="shared" ca="1" si="27"/>
        <v>0.25</v>
      </c>
      <c r="G13" s="52">
        <f t="shared" ca="1" si="27"/>
        <v>0.25</v>
      </c>
      <c r="H13" s="52">
        <f t="shared" ca="1" si="27"/>
        <v>0.25</v>
      </c>
      <c r="I13" s="52">
        <f t="shared" ca="1" si="27"/>
        <v>0.25</v>
      </c>
      <c r="J13" s="50">
        <v>1</v>
      </c>
      <c r="K13" s="51">
        <v>0.25</v>
      </c>
      <c r="L13" s="51">
        <v>0.25</v>
      </c>
      <c r="M13" s="51">
        <v>0.25</v>
      </c>
      <c r="N13" s="51">
        <v>0.25</v>
      </c>
      <c r="O13" s="51">
        <v>0.25</v>
      </c>
      <c r="P13" s="51">
        <v>0.2</v>
      </c>
      <c r="Q13" s="51">
        <v>0.2</v>
      </c>
      <c r="R13" s="51">
        <v>0.2</v>
      </c>
      <c r="S13" s="51">
        <v>0.4</v>
      </c>
      <c r="T13" s="51">
        <v>0.2</v>
      </c>
      <c r="U13" s="51">
        <v>0.2</v>
      </c>
      <c r="V13" s="51">
        <v>0.2</v>
      </c>
      <c r="W13" s="51">
        <v>0.2</v>
      </c>
      <c r="X13" s="51">
        <v>0.2</v>
      </c>
      <c r="Y13" s="51">
        <v>0.2</v>
      </c>
      <c r="AA13" s="60">
        <v>-0.2</v>
      </c>
      <c r="AB13" s="60">
        <v>0.2</v>
      </c>
      <c r="BR13" s="9">
        <f t="shared" ca="1" si="3"/>
        <v>3.5999999999999997E-2</v>
      </c>
      <c r="BS13" s="9">
        <f t="shared" ca="1" si="3"/>
        <v>4.0000000000000008E-2</v>
      </c>
      <c r="BT13" s="9">
        <f t="shared" ca="1" si="3"/>
        <v>2.4E-2</v>
      </c>
      <c r="BU13" s="9">
        <f t="shared" ca="1" si="3"/>
        <v>1.2E-2</v>
      </c>
      <c r="BV13" s="9">
        <f t="shared" ca="1" si="3"/>
        <v>4.0000000000000008E-2</v>
      </c>
      <c r="BW13" s="9">
        <f t="shared" ca="1" si="3"/>
        <v>3.4000000000000002E-2</v>
      </c>
      <c r="BX13" s="9">
        <f t="shared" ca="1" si="3"/>
        <v>4.6000000000000006E-2</v>
      </c>
      <c r="BY13" s="9">
        <f t="shared" ca="1" si="3"/>
        <v>4.0000000000000008E-2</v>
      </c>
      <c r="BZ13" s="9">
        <f t="shared" ca="1" si="3"/>
        <v>0.06</v>
      </c>
      <c r="CA13" s="9">
        <f t="shared" ca="1" si="3"/>
        <v>4.0000000000000008E-2</v>
      </c>
      <c r="CB13" s="9">
        <f t="shared" ca="1" si="4"/>
        <v>3.8000000000000006E-2</v>
      </c>
      <c r="CC13" s="9">
        <f t="shared" ca="1" si="4"/>
        <v>5.4000000000000006E-2</v>
      </c>
      <c r="CD13" s="9">
        <f t="shared" ca="1" si="4"/>
        <v>4.0000000000000008E-2</v>
      </c>
      <c r="CE13" s="9">
        <f t="shared" ca="1" si="4"/>
        <v>5.2000000000000005E-2</v>
      </c>
      <c r="CF13" s="9">
        <f t="shared" ca="1" si="4"/>
        <v>4.1800000000000004E-2</v>
      </c>
      <c r="CG13" s="9">
        <f t="shared" ca="1" si="4"/>
        <v>4.4800000000000006E-2</v>
      </c>
      <c r="CH13" s="9">
        <f t="shared" ca="1" si="4"/>
        <v>3.6999999999999998E-2</v>
      </c>
      <c r="CI13" s="9">
        <f t="shared" ca="1" si="4"/>
        <v>3.44E-2</v>
      </c>
      <c r="CJ13" s="9">
        <f t="shared" ca="1" si="4"/>
        <v>4.8600000000000004E-2</v>
      </c>
      <c r="CK13" s="9">
        <f t="shared" ca="1" si="4"/>
        <v>4.3400000000000001E-2</v>
      </c>
      <c r="CL13" s="9">
        <f t="shared" ca="1" si="5"/>
        <v>8.9999999999999993E-3</v>
      </c>
      <c r="CM13" s="9">
        <f t="shared" ca="1" si="6"/>
        <v>1.0000000000000002E-2</v>
      </c>
      <c r="CN13" s="9">
        <f t="shared" ca="1" si="7"/>
        <v>6.0000000000000001E-3</v>
      </c>
      <c r="CO13" s="9">
        <f t="shared" ca="1" si="8"/>
        <v>3.0000000000000001E-3</v>
      </c>
      <c r="CP13" s="9">
        <f t="shared" ca="1" si="9"/>
        <v>4.0000000000000008E-2</v>
      </c>
      <c r="CQ13" s="9">
        <f t="shared" ca="1" si="10"/>
        <v>8.5000000000000006E-3</v>
      </c>
      <c r="CR13" s="9">
        <f t="shared" ca="1" si="11"/>
        <v>1.1500000000000002E-2</v>
      </c>
      <c r="CS13" s="9">
        <f t="shared" ca="1" si="12"/>
        <v>1.0000000000000002E-2</v>
      </c>
      <c r="CT13" s="9">
        <f t="shared" ca="1" si="13"/>
        <v>1.4999999999999999E-2</v>
      </c>
      <c r="CU13" s="9">
        <f t="shared" ca="1" si="14"/>
        <v>1.0000000000000002E-2</v>
      </c>
      <c r="CV13" s="9">
        <f t="shared" ca="1" si="15"/>
        <v>7.6000000000000017E-3</v>
      </c>
      <c r="CW13" s="9">
        <f t="shared" ca="1" si="16"/>
        <v>1.0800000000000002E-2</v>
      </c>
      <c r="CX13" s="9">
        <f t="shared" ca="1" si="17"/>
        <v>8.0000000000000019E-3</v>
      </c>
      <c r="CY13" s="9">
        <f t="shared" ca="1" si="18"/>
        <v>2.0800000000000003E-2</v>
      </c>
      <c r="CZ13" s="9">
        <f t="shared" ca="1" si="19"/>
        <v>8.3600000000000011E-3</v>
      </c>
      <c r="DA13" s="9">
        <f t="shared" ca="1" si="20"/>
        <v>8.9600000000000009E-3</v>
      </c>
      <c r="DB13" s="9">
        <f t="shared" ca="1" si="21"/>
        <v>7.4000000000000003E-3</v>
      </c>
      <c r="DC13" s="9">
        <f t="shared" ca="1" si="22"/>
        <v>6.8800000000000007E-3</v>
      </c>
      <c r="DD13" s="9">
        <f t="shared" ca="1" si="23"/>
        <v>9.7200000000000012E-3</v>
      </c>
      <c r="DE13" s="9">
        <f t="shared" ca="1" si="24"/>
        <v>8.6800000000000002E-3</v>
      </c>
      <c r="DG13" s="33"/>
      <c r="DH13" s="27"/>
      <c r="DI13" s="27"/>
      <c r="DJ13" s="39">
        <v>1</v>
      </c>
      <c r="DK13" s="27"/>
      <c r="DL13" s="31">
        <f t="shared" ca="1" si="26"/>
        <v>3.3563884105260858E-2</v>
      </c>
      <c r="DM13" s="31">
        <f t="shared" ca="1" si="25"/>
        <v>0.10181200256749087</v>
      </c>
      <c r="DO13" s="54"/>
    </row>
    <row r="14" spans="1:119" x14ac:dyDescent="0.55000000000000004">
      <c r="A14" s="12">
        <v>6</v>
      </c>
      <c r="B14" s="63" t="s">
        <v>74</v>
      </c>
      <c r="C14" s="60">
        <v>9.5000000000000001E-2</v>
      </c>
      <c r="D14" s="60">
        <v>0.17</v>
      </c>
      <c r="F14" s="52">
        <f t="shared" ca="1" si="27"/>
        <v>0.25</v>
      </c>
      <c r="G14" s="52">
        <f t="shared" ca="1" si="27"/>
        <v>0.25</v>
      </c>
      <c r="H14" s="52">
        <f t="shared" ca="1" si="27"/>
        <v>0.25</v>
      </c>
      <c r="I14" s="52">
        <f t="shared" ca="1" si="27"/>
        <v>0.25</v>
      </c>
      <c r="J14" s="52">
        <f t="shared" ca="1" si="27"/>
        <v>0.25</v>
      </c>
      <c r="K14" s="50">
        <v>1</v>
      </c>
      <c r="L14" s="51">
        <v>0.25</v>
      </c>
      <c r="M14" s="51">
        <v>0.25</v>
      </c>
      <c r="N14" s="51">
        <v>0.25</v>
      </c>
      <c r="O14" s="51">
        <v>0.25</v>
      </c>
      <c r="P14" s="51">
        <v>0.2</v>
      </c>
      <c r="Q14" s="51">
        <v>0.2</v>
      </c>
      <c r="R14" s="51">
        <v>0.2</v>
      </c>
      <c r="S14" s="51">
        <v>0.2</v>
      </c>
      <c r="T14" s="51">
        <v>0.2</v>
      </c>
      <c r="U14" s="51">
        <v>0.3</v>
      </c>
      <c r="V14" s="51">
        <v>0.2</v>
      </c>
      <c r="W14" s="51">
        <v>0.2</v>
      </c>
      <c r="X14" s="51">
        <v>0.2</v>
      </c>
      <c r="Y14" s="51">
        <v>0.2</v>
      </c>
      <c r="AA14" s="60">
        <v>-0.2</v>
      </c>
      <c r="AB14" s="60">
        <v>0.2</v>
      </c>
      <c r="BR14" s="9">
        <f t="shared" ca="1" si="3"/>
        <v>3.0600000000000002E-2</v>
      </c>
      <c r="BS14" s="9">
        <f t="shared" ca="1" si="3"/>
        <v>3.4000000000000002E-2</v>
      </c>
      <c r="BT14" s="9">
        <f t="shared" ca="1" si="3"/>
        <v>2.0400000000000001E-2</v>
      </c>
      <c r="BU14" s="9">
        <f t="shared" ca="1" si="3"/>
        <v>1.0200000000000001E-2</v>
      </c>
      <c r="BV14" s="9">
        <f t="shared" ca="1" si="3"/>
        <v>3.4000000000000002E-2</v>
      </c>
      <c r="BW14" s="9">
        <f t="shared" ca="1" si="3"/>
        <v>2.8900000000000006E-2</v>
      </c>
      <c r="BX14" s="9">
        <f t="shared" ca="1" si="3"/>
        <v>3.9100000000000003E-2</v>
      </c>
      <c r="BY14" s="9">
        <f t="shared" ca="1" si="3"/>
        <v>3.4000000000000002E-2</v>
      </c>
      <c r="BZ14" s="9">
        <f t="shared" ca="1" si="3"/>
        <v>5.1000000000000004E-2</v>
      </c>
      <c r="CA14" s="9">
        <f t="shared" ca="1" si="3"/>
        <v>3.4000000000000002E-2</v>
      </c>
      <c r="CB14" s="9">
        <f t="shared" ca="1" si="4"/>
        <v>3.2300000000000002E-2</v>
      </c>
      <c r="CC14" s="9">
        <f t="shared" ca="1" si="4"/>
        <v>4.5900000000000003E-2</v>
      </c>
      <c r="CD14" s="9">
        <f t="shared" ca="1" si="4"/>
        <v>3.4000000000000002E-2</v>
      </c>
      <c r="CE14" s="9">
        <f t="shared" ca="1" si="4"/>
        <v>4.4200000000000003E-2</v>
      </c>
      <c r="CF14" s="9">
        <f t="shared" ca="1" si="4"/>
        <v>3.5529999999999999E-2</v>
      </c>
      <c r="CG14" s="9">
        <f t="shared" ca="1" si="4"/>
        <v>3.8080000000000003E-2</v>
      </c>
      <c r="CH14" s="9">
        <f t="shared" ca="1" si="4"/>
        <v>3.1449999999999999E-2</v>
      </c>
      <c r="CI14" s="9">
        <f t="shared" ca="1" si="4"/>
        <v>2.9239999999999999E-2</v>
      </c>
      <c r="CJ14" s="9">
        <f t="shared" ca="1" si="4"/>
        <v>4.1309999999999999E-2</v>
      </c>
      <c r="CK14" s="9">
        <f t="shared" ca="1" si="4"/>
        <v>3.6889999999999999E-2</v>
      </c>
      <c r="CL14" s="9">
        <f t="shared" ca="1" si="5"/>
        <v>7.6500000000000005E-3</v>
      </c>
      <c r="CM14" s="9">
        <f t="shared" ca="1" si="6"/>
        <v>8.5000000000000006E-3</v>
      </c>
      <c r="CN14" s="9">
        <f t="shared" ca="1" si="7"/>
        <v>5.1000000000000004E-3</v>
      </c>
      <c r="CO14" s="9">
        <f t="shared" ca="1" si="8"/>
        <v>2.5500000000000002E-3</v>
      </c>
      <c r="CP14" s="9">
        <f t="shared" ca="1" si="9"/>
        <v>8.5000000000000006E-3</v>
      </c>
      <c r="CQ14" s="9">
        <f t="shared" ca="1" si="10"/>
        <v>2.8900000000000006E-2</v>
      </c>
      <c r="CR14" s="9">
        <f t="shared" ca="1" si="11"/>
        <v>9.7750000000000007E-3</v>
      </c>
      <c r="CS14" s="9">
        <f t="shared" ca="1" si="12"/>
        <v>8.5000000000000006E-3</v>
      </c>
      <c r="CT14" s="9">
        <f t="shared" ca="1" si="13"/>
        <v>1.2750000000000001E-2</v>
      </c>
      <c r="CU14" s="9">
        <f t="shared" ca="1" si="14"/>
        <v>8.5000000000000006E-3</v>
      </c>
      <c r="CV14" s="9">
        <f t="shared" ca="1" si="15"/>
        <v>6.4600000000000005E-3</v>
      </c>
      <c r="CW14" s="9">
        <f t="shared" ca="1" si="16"/>
        <v>9.1800000000000007E-3</v>
      </c>
      <c r="CX14" s="9">
        <f t="shared" ca="1" si="17"/>
        <v>6.8000000000000005E-3</v>
      </c>
      <c r="CY14" s="9">
        <f t="shared" ca="1" si="18"/>
        <v>8.8400000000000006E-3</v>
      </c>
      <c r="CZ14" s="9">
        <f t="shared" ca="1" si="19"/>
        <v>7.1060000000000003E-3</v>
      </c>
      <c r="DA14" s="9">
        <f t="shared" ca="1" si="20"/>
        <v>1.1424E-2</v>
      </c>
      <c r="DB14" s="9">
        <f t="shared" ca="1" si="21"/>
        <v>6.2900000000000005E-3</v>
      </c>
      <c r="DC14" s="9">
        <f t="shared" ca="1" si="22"/>
        <v>5.8479999999999999E-3</v>
      </c>
      <c r="DD14" s="9">
        <f t="shared" ca="1" si="23"/>
        <v>8.2620000000000002E-3</v>
      </c>
      <c r="DE14" s="9">
        <f t="shared" ca="1" si="24"/>
        <v>7.378E-3</v>
      </c>
      <c r="DG14" s="33"/>
      <c r="DH14" s="27"/>
      <c r="DI14" s="27"/>
      <c r="DJ14" s="39">
        <v>1</v>
      </c>
      <c r="DK14" s="27"/>
      <c r="DL14" s="31">
        <f t="shared" ca="1" si="26"/>
        <v>4.0209951012253178E-2</v>
      </c>
      <c r="DM14" s="31">
        <f t="shared" ca="1" si="25"/>
        <v>8.9631594277720036E-2</v>
      </c>
      <c r="DO14" s="54"/>
    </row>
    <row r="15" spans="1:119" x14ac:dyDescent="0.55000000000000004">
      <c r="A15" s="12">
        <v>7</v>
      </c>
      <c r="B15" s="63" t="s">
        <v>75</v>
      </c>
      <c r="C15" s="60">
        <v>0.1</v>
      </c>
      <c r="D15" s="60">
        <v>0.23</v>
      </c>
      <c r="F15" s="52">
        <f t="shared" ca="1" si="27"/>
        <v>0.25</v>
      </c>
      <c r="G15" s="52">
        <f t="shared" ca="1" si="27"/>
        <v>0.25</v>
      </c>
      <c r="H15" s="52">
        <f t="shared" ca="1" si="27"/>
        <v>0.25</v>
      </c>
      <c r="I15" s="52">
        <f t="shared" ca="1" si="27"/>
        <v>0.25</v>
      </c>
      <c r="J15" s="52">
        <f t="shared" ca="1" si="27"/>
        <v>0.25</v>
      </c>
      <c r="K15" s="52">
        <f t="shared" ca="1" si="27"/>
        <v>0.25</v>
      </c>
      <c r="L15" s="50">
        <v>1</v>
      </c>
      <c r="M15" s="51">
        <v>0.25</v>
      </c>
      <c r="N15" s="51">
        <v>0.25</v>
      </c>
      <c r="O15" s="51">
        <v>0.25</v>
      </c>
      <c r="P15" s="51">
        <v>-0.01</v>
      </c>
      <c r="Q15" s="51">
        <v>0.2</v>
      </c>
      <c r="R15" s="51">
        <v>0.2</v>
      </c>
      <c r="S15" s="51">
        <v>0.2</v>
      </c>
      <c r="T15" s="51">
        <v>0.2</v>
      </c>
      <c r="U15" s="51">
        <v>0.2</v>
      </c>
      <c r="V15" s="51">
        <v>0.2</v>
      </c>
      <c r="W15" s="51">
        <v>0.2</v>
      </c>
      <c r="X15" s="51">
        <v>0.2</v>
      </c>
      <c r="Y15" s="51">
        <v>0.2</v>
      </c>
      <c r="AA15" s="60">
        <v>-0.2</v>
      </c>
      <c r="AB15" s="60">
        <v>0.2</v>
      </c>
      <c r="BR15" s="9">
        <f t="shared" ca="1" si="3"/>
        <v>4.1399999999999999E-2</v>
      </c>
      <c r="BS15" s="9">
        <f t="shared" ca="1" si="3"/>
        <v>4.6000000000000006E-2</v>
      </c>
      <c r="BT15" s="9">
        <f t="shared" ca="1" si="3"/>
        <v>2.76E-2</v>
      </c>
      <c r="BU15" s="9">
        <f t="shared" ca="1" si="3"/>
        <v>1.38E-2</v>
      </c>
      <c r="BV15" s="9">
        <f t="shared" ca="1" si="3"/>
        <v>4.6000000000000006E-2</v>
      </c>
      <c r="BW15" s="9">
        <f t="shared" ca="1" si="3"/>
        <v>3.9100000000000003E-2</v>
      </c>
      <c r="BX15" s="9">
        <f t="shared" ca="1" si="3"/>
        <v>5.2900000000000003E-2</v>
      </c>
      <c r="BY15" s="9">
        <f t="shared" ca="1" si="3"/>
        <v>4.6000000000000006E-2</v>
      </c>
      <c r="BZ15" s="9">
        <f t="shared" ca="1" si="3"/>
        <v>6.9000000000000006E-2</v>
      </c>
      <c r="CA15" s="9">
        <f t="shared" ca="1" si="3"/>
        <v>4.6000000000000006E-2</v>
      </c>
      <c r="CB15" s="9">
        <f t="shared" ca="1" si="4"/>
        <v>4.3700000000000003E-2</v>
      </c>
      <c r="CC15" s="9">
        <f t="shared" ca="1" si="4"/>
        <v>6.2100000000000009E-2</v>
      </c>
      <c r="CD15" s="9">
        <f t="shared" ca="1" si="4"/>
        <v>4.6000000000000006E-2</v>
      </c>
      <c r="CE15" s="9">
        <f t="shared" ca="1" si="4"/>
        <v>5.9800000000000006E-2</v>
      </c>
      <c r="CF15" s="9">
        <f t="shared" ca="1" si="4"/>
        <v>4.8070000000000002E-2</v>
      </c>
      <c r="CG15" s="9">
        <f t="shared" ca="1" si="4"/>
        <v>5.1520000000000003E-2</v>
      </c>
      <c r="CH15" s="9">
        <f t="shared" ca="1" si="4"/>
        <v>4.2550000000000004E-2</v>
      </c>
      <c r="CI15" s="9">
        <f t="shared" ca="1" si="4"/>
        <v>3.9559999999999998E-2</v>
      </c>
      <c r="CJ15" s="9">
        <f t="shared" ca="1" si="4"/>
        <v>5.5890000000000002E-2</v>
      </c>
      <c r="CK15" s="9">
        <f t="shared" ca="1" si="4"/>
        <v>4.9910000000000003E-2</v>
      </c>
      <c r="CL15" s="9">
        <f t="shared" ca="1" si="5"/>
        <v>1.035E-2</v>
      </c>
      <c r="CM15" s="9">
        <f t="shared" ca="1" si="6"/>
        <v>1.1500000000000002E-2</v>
      </c>
      <c r="CN15" s="9">
        <f t="shared" ca="1" si="7"/>
        <v>6.8999999999999999E-3</v>
      </c>
      <c r="CO15" s="9">
        <f t="shared" ca="1" si="8"/>
        <v>3.4499999999999999E-3</v>
      </c>
      <c r="CP15" s="9">
        <f t="shared" ca="1" si="9"/>
        <v>1.1500000000000002E-2</v>
      </c>
      <c r="CQ15" s="9">
        <f t="shared" ca="1" si="10"/>
        <v>9.7750000000000007E-3</v>
      </c>
      <c r="CR15" s="9">
        <f t="shared" ca="1" si="11"/>
        <v>5.2900000000000003E-2</v>
      </c>
      <c r="CS15" s="9">
        <f t="shared" ca="1" si="12"/>
        <v>1.1500000000000002E-2</v>
      </c>
      <c r="CT15" s="9">
        <f t="shared" ca="1" si="13"/>
        <v>1.7250000000000001E-2</v>
      </c>
      <c r="CU15" s="9">
        <f t="shared" ca="1" si="14"/>
        <v>1.1500000000000002E-2</v>
      </c>
      <c r="CV15" s="9">
        <f t="shared" ca="1" si="15"/>
        <v>-4.3700000000000005E-4</v>
      </c>
      <c r="CW15" s="9">
        <f t="shared" ca="1" si="16"/>
        <v>1.2420000000000002E-2</v>
      </c>
      <c r="CX15" s="9">
        <f t="shared" ca="1" si="17"/>
        <v>9.2000000000000016E-3</v>
      </c>
      <c r="CY15" s="9">
        <f t="shared" ca="1" si="18"/>
        <v>1.1960000000000002E-2</v>
      </c>
      <c r="CZ15" s="9">
        <f t="shared" ca="1" si="19"/>
        <v>9.614000000000001E-3</v>
      </c>
      <c r="DA15" s="9">
        <f t="shared" ca="1" si="20"/>
        <v>1.0304000000000001E-2</v>
      </c>
      <c r="DB15" s="9">
        <f t="shared" ca="1" si="21"/>
        <v>8.5100000000000019E-3</v>
      </c>
      <c r="DC15" s="9">
        <f t="shared" ca="1" si="22"/>
        <v>7.9120000000000006E-3</v>
      </c>
      <c r="DD15" s="9">
        <f t="shared" ca="1" si="23"/>
        <v>1.1178E-2</v>
      </c>
      <c r="DE15" s="9">
        <f t="shared" ca="1" si="24"/>
        <v>9.9820000000000013E-3</v>
      </c>
      <c r="DG15" s="33"/>
      <c r="DH15" s="27"/>
      <c r="DI15" s="27"/>
      <c r="DJ15" s="39">
        <v>1</v>
      </c>
      <c r="DK15" s="27"/>
      <c r="DL15" s="31">
        <f t="shared" ca="1" si="26"/>
        <v>4.6856017919245499E-2</v>
      </c>
      <c r="DM15" s="31">
        <f t="shared" ca="1" si="25"/>
        <v>7.8538814691300154E-2</v>
      </c>
      <c r="DO15" s="54"/>
    </row>
    <row r="16" spans="1:119" x14ac:dyDescent="0.55000000000000004">
      <c r="A16" s="12">
        <v>8</v>
      </c>
      <c r="B16" s="63" t="s">
        <v>76</v>
      </c>
      <c r="C16" s="60">
        <v>0.09</v>
      </c>
      <c r="D16" s="60">
        <v>0.2</v>
      </c>
      <c r="F16" s="52">
        <f t="shared" ca="1" si="27"/>
        <v>0.25</v>
      </c>
      <c r="G16" s="52">
        <f t="shared" ca="1" si="27"/>
        <v>0.25</v>
      </c>
      <c r="H16" s="52">
        <f t="shared" ca="1" si="27"/>
        <v>0.25</v>
      </c>
      <c r="I16" s="52">
        <f t="shared" ca="1" si="27"/>
        <v>0.25</v>
      </c>
      <c r="J16" s="52">
        <f t="shared" ca="1" si="27"/>
        <v>0.25</v>
      </c>
      <c r="K16" s="52">
        <f t="shared" ca="1" si="27"/>
        <v>0.25</v>
      </c>
      <c r="L16" s="52">
        <f t="shared" ca="1" si="27"/>
        <v>0.25</v>
      </c>
      <c r="M16" s="50">
        <v>1</v>
      </c>
      <c r="N16" s="51">
        <v>0.25</v>
      </c>
      <c r="O16" s="51">
        <v>0.25</v>
      </c>
      <c r="P16" s="51">
        <v>0.2</v>
      </c>
      <c r="Q16" s="51">
        <v>0</v>
      </c>
      <c r="R16" s="51">
        <v>0.2</v>
      </c>
      <c r="S16" s="51">
        <v>0.2</v>
      </c>
      <c r="T16" s="51">
        <v>0.2</v>
      </c>
      <c r="U16" s="51">
        <v>0.2</v>
      </c>
      <c r="V16" s="51">
        <v>0.2</v>
      </c>
      <c r="W16" s="51">
        <v>0.2</v>
      </c>
      <c r="X16" s="51">
        <v>0.2</v>
      </c>
      <c r="Y16" s="51">
        <v>0.2</v>
      </c>
      <c r="AA16" s="60">
        <v>-0.2</v>
      </c>
      <c r="AB16" s="60">
        <v>0.2</v>
      </c>
      <c r="BR16" s="9">
        <f t="shared" ca="1" si="3"/>
        <v>3.5999999999999997E-2</v>
      </c>
      <c r="BS16" s="9">
        <f t="shared" ca="1" si="3"/>
        <v>4.0000000000000008E-2</v>
      </c>
      <c r="BT16" s="9">
        <f t="shared" ca="1" si="3"/>
        <v>2.4E-2</v>
      </c>
      <c r="BU16" s="9">
        <f t="shared" ca="1" si="3"/>
        <v>1.2E-2</v>
      </c>
      <c r="BV16" s="9">
        <f t="shared" ca="1" si="3"/>
        <v>4.0000000000000008E-2</v>
      </c>
      <c r="BW16" s="9">
        <f t="shared" ca="1" si="3"/>
        <v>3.4000000000000002E-2</v>
      </c>
      <c r="BX16" s="9">
        <f t="shared" ca="1" si="3"/>
        <v>4.6000000000000006E-2</v>
      </c>
      <c r="BY16" s="9">
        <f t="shared" ca="1" si="3"/>
        <v>4.0000000000000008E-2</v>
      </c>
      <c r="BZ16" s="9">
        <f t="shared" ca="1" si="3"/>
        <v>0.06</v>
      </c>
      <c r="CA16" s="9">
        <f t="shared" ca="1" si="3"/>
        <v>4.0000000000000008E-2</v>
      </c>
      <c r="CB16" s="9">
        <f t="shared" ca="1" si="4"/>
        <v>3.8000000000000006E-2</v>
      </c>
      <c r="CC16" s="9">
        <f t="shared" ca="1" si="4"/>
        <v>5.4000000000000006E-2</v>
      </c>
      <c r="CD16" s="9">
        <f t="shared" ca="1" si="4"/>
        <v>4.0000000000000008E-2</v>
      </c>
      <c r="CE16" s="9">
        <f t="shared" ca="1" si="4"/>
        <v>5.2000000000000005E-2</v>
      </c>
      <c r="CF16" s="9">
        <f t="shared" ca="1" si="4"/>
        <v>4.1800000000000004E-2</v>
      </c>
      <c r="CG16" s="9">
        <f t="shared" ca="1" si="4"/>
        <v>4.4800000000000006E-2</v>
      </c>
      <c r="CH16" s="9">
        <f t="shared" ca="1" si="4"/>
        <v>3.6999999999999998E-2</v>
      </c>
      <c r="CI16" s="9">
        <f t="shared" ca="1" si="4"/>
        <v>3.44E-2</v>
      </c>
      <c r="CJ16" s="9">
        <f t="shared" ca="1" si="4"/>
        <v>4.8600000000000004E-2</v>
      </c>
      <c r="CK16" s="9">
        <f t="shared" ca="1" si="4"/>
        <v>4.3400000000000001E-2</v>
      </c>
      <c r="CL16" s="9">
        <f t="shared" ca="1" si="5"/>
        <v>8.9999999999999993E-3</v>
      </c>
      <c r="CM16" s="9">
        <f t="shared" ca="1" si="6"/>
        <v>1.0000000000000002E-2</v>
      </c>
      <c r="CN16" s="9">
        <f t="shared" ca="1" si="7"/>
        <v>6.0000000000000001E-3</v>
      </c>
      <c r="CO16" s="9">
        <f t="shared" ca="1" si="8"/>
        <v>3.0000000000000001E-3</v>
      </c>
      <c r="CP16" s="9">
        <f t="shared" ca="1" si="9"/>
        <v>1.0000000000000002E-2</v>
      </c>
      <c r="CQ16" s="9">
        <f t="shared" ca="1" si="10"/>
        <v>8.5000000000000006E-3</v>
      </c>
      <c r="CR16" s="9">
        <f t="shared" ca="1" si="11"/>
        <v>1.1500000000000002E-2</v>
      </c>
      <c r="CS16" s="9">
        <f t="shared" ca="1" si="12"/>
        <v>4.0000000000000008E-2</v>
      </c>
      <c r="CT16" s="9">
        <f t="shared" ca="1" si="13"/>
        <v>1.4999999999999999E-2</v>
      </c>
      <c r="CU16" s="9">
        <f t="shared" ca="1" si="14"/>
        <v>1.0000000000000002E-2</v>
      </c>
      <c r="CV16" s="9">
        <f t="shared" ca="1" si="15"/>
        <v>7.6000000000000017E-3</v>
      </c>
      <c r="CW16" s="9">
        <f t="shared" ca="1" si="16"/>
        <v>0</v>
      </c>
      <c r="CX16" s="9">
        <f t="shared" ca="1" si="17"/>
        <v>8.0000000000000019E-3</v>
      </c>
      <c r="CY16" s="9">
        <f t="shared" ca="1" si="18"/>
        <v>1.0400000000000001E-2</v>
      </c>
      <c r="CZ16" s="9">
        <f t="shared" ca="1" si="19"/>
        <v>8.3600000000000011E-3</v>
      </c>
      <c r="DA16" s="9">
        <f t="shared" ca="1" si="20"/>
        <v>8.9600000000000009E-3</v>
      </c>
      <c r="DB16" s="9">
        <f t="shared" ca="1" si="21"/>
        <v>7.4000000000000003E-3</v>
      </c>
      <c r="DC16" s="9">
        <f t="shared" ca="1" si="22"/>
        <v>6.8800000000000007E-3</v>
      </c>
      <c r="DD16" s="9">
        <f t="shared" ca="1" si="23"/>
        <v>9.7200000000000012E-3</v>
      </c>
      <c r="DE16" s="9">
        <f t="shared" ca="1" si="24"/>
        <v>8.6800000000000002E-3</v>
      </c>
      <c r="DG16" s="33"/>
      <c r="DH16" s="27"/>
      <c r="DI16" s="27"/>
      <c r="DJ16" s="39">
        <v>1</v>
      </c>
      <c r="DK16" s="27"/>
      <c r="DL16" s="31">
        <f t="shared" ca="1" si="26"/>
        <v>5.350208482623782E-2</v>
      </c>
      <c r="DM16" s="31">
        <f t="shared" ca="1" si="25"/>
        <v>6.9059771414684515E-2</v>
      </c>
      <c r="DO16" s="54"/>
    </row>
    <row r="17" spans="1:119" x14ac:dyDescent="0.55000000000000004">
      <c r="A17" s="12">
        <v>9</v>
      </c>
      <c r="B17" s="63" t="s">
        <v>77</v>
      </c>
      <c r="C17" s="60">
        <v>0.16</v>
      </c>
      <c r="D17" s="60">
        <v>0.3</v>
      </c>
      <c r="F17" s="52">
        <f t="shared" ca="1" si="27"/>
        <v>0.25</v>
      </c>
      <c r="G17" s="52">
        <f t="shared" ca="1" si="27"/>
        <v>0.25</v>
      </c>
      <c r="H17" s="52">
        <f t="shared" ca="1" si="27"/>
        <v>0.25</v>
      </c>
      <c r="I17" s="52">
        <f t="shared" ca="1" si="27"/>
        <v>0.25</v>
      </c>
      <c r="J17" s="52">
        <f t="shared" ca="1" si="27"/>
        <v>0.25</v>
      </c>
      <c r="K17" s="52">
        <f t="shared" ca="1" si="27"/>
        <v>0.25</v>
      </c>
      <c r="L17" s="52">
        <f t="shared" ca="1" si="27"/>
        <v>0.25</v>
      </c>
      <c r="M17" s="52">
        <f t="shared" ca="1" si="27"/>
        <v>0.25</v>
      </c>
      <c r="N17" s="50">
        <v>1</v>
      </c>
      <c r="O17" s="51">
        <v>0.25</v>
      </c>
      <c r="P17" s="51">
        <v>0.2</v>
      </c>
      <c r="Q17" s="51">
        <v>0.2</v>
      </c>
      <c r="R17" s="51">
        <v>0.2</v>
      </c>
      <c r="S17" s="51">
        <v>0.2</v>
      </c>
      <c r="T17" s="51">
        <v>0.2</v>
      </c>
      <c r="U17" s="51">
        <v>0.3</v>
      </c>
      <c r="V17" s="51">
        <v>0.2</v>
      </c>
      <c r="W17" s="51">
        <v>0.4</v>
      </c>
      <c r="X17" s="51">
        <v>0.2</v>
      </c>
      <c r="Y17" s="51">
        <v>0.2</v>
      </c>
      <c r="AA17" s="60">
        <v>-0.2</v>
      </c>
      <c r="AB17" s="60">
        <v>0.2</v>
      </c>
      <c r="BR17" s="9">
        <f t="shared" ca="1" si="3"/>
        <v>5.3999999999999999E-2</v>
      </c>
      <c r="BS17" s="9">
        <f t="shared" ca="1" si="3"/>
        <v>0.06</v>
      </c>
      <c r="BT17" s="9">
        <f t="shared" ca="1" si="3"/>
        <v>3.5999999999999997E-2</v>
      </c>
      <c r="BU17" s="9">
        <f t="shared" ca="1" si="3"/>
        <v>1.7999999999999999E-2</v>
      </c>
      <c r="BV17" s="9">
        <f t="shared" ca="1" si="3"/>
        <v>0.06</v>
      </c>
      <c r="BW17" s="9">
        <f t="shared" ca="1" si="3"/>
        <v>5.1000000000000004E-2</v>
      </c>
      <c r="BX17" s="9">
        <f t="shared" ca="1" si="3"/>
        <v>6.9000000000000006E-2</v>
      </c>
      <c r="BY17" s="9">
        <f t="shared" ca="1" si="3"/>
        <v>0.06</v>
      </c>
      <c r="BZ17" s="9">
        <f t="shared" ca="1" si="3"/>
        <v>0.09</v>
      </c>
      <c r="CA17" s="9">
        <f t="shared" ca="1" si="3"/>
        <v>0.06</v>
      </c>
      <c r="CB17" s="9">
        <f t="shared" ca="1" si="4"/>
        <v>5.6999999999999995E-2</v>
      </c>
      <c r="CC17" s="9">
        <f t="shared" ca="1" si="4"/>
        <v>8.1000000000000003E-2</v>
      </c>
      <c r="CD17" s="9">
        <f t="shared" ca="1" si="4"/>
        <v>0.06</v>
      </c>
      <c r="CE17" s="9">
        <f t="shared" ca="1" si="4"/>
        <v>7.8E-2</v>
      </c>
      <c r="CF17" s="9">
        <f t="shared" ca="1" si="4"/>
        <v>6.2699999999999992E-2</v>
      </c>
      <c r="CG17" s="9">
        <f t="shared" ca="1" si="4"/>
        <v>6.7199999999999996E-2</v>
      </c>
      <c r="CH17" s="9">
        <f t="shared" ca="1" si="4"/>
        <v>5.5500000000000001E-2</v>
      </c>
      <c r="CI17" s="9">
        <f t="shared" ca="1" si="4"/>
        <v>5.1599999999999993E-2</v>
      </c>
      <c r="CJ17" s="9">
        <f t="shared" ca="1" si="4"/>
        <v>7.2899999999999993E-2</v>
      </c>
      <c r="CK17" s="9">
        <f t="shared" ca="1" si="4"/>
        <v>6.5099999999999991E-2</v>
      </c>
      <c r="CL17" s="9">
        <f t="shared" ca="1" si="5"/>
        <v>1.35E-2</v>
      </c>
      <c r="CM17" s="9">
        <f t="shared" ca="1" si="6"/>
        <v>1.4999999999999999E-2</v>
      </c>
      <c r="CN17" s="9">
        <f t="shared" ca="1" si="7"/>
        <v>8.9999999999999993E-3</v>
      </c>
      <c r="CO17" s="9">
        <f t="shared" ca="1" si="8"/>
        <v>4.4999999999999997E-3</v>
      </c>
      <c r="CP17" s="9">
        <f t="shared" ca="1" si="9"/>
        <v>1.4999999999999999E-2</v>
      </c>
      <c r="CQ17" s="9">
        <f t="shared" ca="1" si="10"/>
        <v>1.2750000000000001E-2</v>
      </c>
      <c r="CR17" s="9">
        <f t="shared" ca="1" si="11"/>
        <v>1.7250000000000001E-2</v>
      </c>
      <c r="CS17" s="9">
        <f t="shared" ca="1" si="12"/>
        <v>1.4999999999999999E-2</v>
      </c>
      <c r="CT17" s="9">
        <f t="shared" ca="1" si="13"/>
        <v>0.09</v>
      </c>
      <c r="CU17" s="9">
        <f t="shared" ca="1" si="14"/>
        <v>1.4999999999999999E-2</v>
      </c>
      <c r="CV17" s="9">
        <f t="shared" ca="1" si="15"/>
        <v>1.14E-2</v>
      </c>
      <c r="CW17" s="9">
        <f t="shared" ca="1" si="16"/>
        <v>1.6200000000000003E-2</v>
      </c>
      <c r="CX17" s="9">
        <f t="shared" ca="1" si="17"/>
        <v>1.2E-2</v>
      </c>
      <c r="CY17" s="9">
        <f t="shared" ca="1" si="18"/>
        <v>1.5600000000000001E-2</v>
      </c>
      <c r="CZ17" s="9">
        <f t="shared" ca="1" si="19"/>
        <v>1.2539999999999999E-2</v>
      </c>
      <c r="DA17" s="9">
        <f t="shared" ca="1" si="20"/>
        <v>2.0159999999999997E-2</v>
      </c>
      <c r="DB17" s="9">
        <f t="shared" ca="1" si="21"/>
        <v>1.11E-2</v>
      </c>
      <c r="DC17" s="9">
        <f t="shared" ca="1" si="22"/>
        <v>2.0639999999999999E-2</v>
      </c>
      <c r="DD17" s="9">
        <f t="shared" ca="1" si="23"/>
        <v>1.4579999999999999E-2</v>
      </c>
      <c r="DE17" s="9">
        <f t="shared" ca="1" si="24"/>
        <v>1.3019999999999999E-2</v>
      </c>
      <c r="DG17" s="33"/>
      <c r="DH17" s="27"/>
      <c r="DI17" s="27"/>
      <c r="DJ17" s="39">
        <v>1</v>
      </c>
      <c r="DK17" s="27"/>
      <c r="DL17" s="31">
        <f t="shared" ca="1" si="26"/>
        <v>6.014815173323014E-2</v>
      </c>
      <c r="DM17" s="31">
        <f t="shared" ca="1" si="25"/>
        <v>6.1939829972063189E-2</v>
      </c>
      <c r="DO17" s="54"/>
    </row>
    <row r="18" spans="1:119" x14ac:dyDescent="0.55000000000000004">
      <c r="A18" s="12">
        <v>10</v>
      </c>
      <c r="B18" s="63" t="s">
        <v>78</v>
      </c>
      <c r="C18" s="60">
        <v>0.13</v>
      </c>
      <c r="D18" s="60">
        <v>0.2</v>
      </c>
      <c r="F18" s="52">
        <f t="shared" ca="1" si="27"/>
        <v>0.25</v>
      </c>
      <c r="G18" s="52">
        <f t="shared" ca="1" si="27"/>
        <v>0.25</v>
      </c>
      <c r="H18" s="52">
        <f t="shared" ca="1" si="27"/>
        <v>0.25</v>
      </c>
      <c r="I18" s="52">
        <f t="shared" ca="1" si="27"/>
        <v>0.25</v>
      </c>
      <c r="J18" s="52">
        <f t="shared" ca="1" si="27"/>
        <v>0.25</v>
      </c>
      <c r="K18" s="52">
        <f t="shared" ca="1" si="27"/>
        <v>0.25</v>
      </c>
      <c r="L18" s="52">
        <f t="shared" ca="1" si="27"/>
        <v>0.25</v>
      </c>
      <c r="M18" s="52">
        <f t="shared" ca="1" si="27"/>
        <v>0.25</v>
      </c>
      <c r="N18" s="52">
        <f t="shared" ca="1" si="27"/>
        <v>0.25</v>
      </c>
      <c r="O18" s="50">
        <v>1</v>
      </c>
      <c r="P18" s="51">
        <v>0.2</v>
      </c>
      <c r="Q18" s="51">
        <v>0.2</v>
      </c>
      <c r="R18" s="51">
        <v>0</v>
      </c>
      <c r="S18" s="51">
        <v>0.2</v>
      </c>
      <c r="T18" s="51">
        <v>0.2</v>
      </c>
      <c r="U18" s="51">
        <v>0.2</v>
      </c>
      <c r="V18" s="51">
        <v>0.2</v>
      </c>
      <c r="W18" s="51">
        <v>0.2</v>
      </c>
      <c r="X18" s="51">
        <v>0.2</v>
      </c>
      <c r="Y18" s="51">
        <v>0.2</v>
      </c>
      <c r="AA18" s="60">
        <v>-0.2</v>
      </c>
      <c r="AB18" s="60">
        <v>0.2</v>
      </c>
      <c r="BR18" s="9">
        <f t="shared" ca="1" si="3"/>
        <v>3.5999999999999997E-2</v>
      </c>
      <c r="BS18" s="9">
        <f t="shared" ca="1" si="3"/>
        <v>4.0000000000000008E-2</v>
      </c>
      <c r="BT18" s="9">
        <f t="shared" ca="1" si="3"/>
        <v>2.4E-2</v>
      </c>
      <c r="BU18" s="9">
        <f t="shared" ca="1" si="3"/>
        <v>1.2E-2</v>
      </c>
      <c r="BV18" s="9">
        <f t="shared" ca="1" si="3"/>
        <v>4.0000000000000008E-2</v>
      </c>
      <c r="BW18" s="9">
        <f t="shared" ca="1" si="3"/>
        <v>3.4000000000000002E-2</v>
      </c>
      <c r="BX18" s="9">
        <f t="shared" ca="1" si="3"/>
        <v>4.6000000000000006E-2</v>
      </c>
      <c r="BY18" s="9">
        <f t="shared" ca="1" si="3"/>
        <v>4.0000000000000008E-2</v>
      </c>
      <c r="BZ18" s="9">
        <f t="shared" ca="1" si="3"/>
        <v>0.06</v>
      </c>
      <c r="CA18" s="9">
        <f t="shared" ca="1" si="3"/>
        <v>4.0000000000000008E-2</v>
      </c>
      <c r="CB18" s="9">
        <f t="shared" ca="1" si="4"/>
        <v>3.8000000000000006E-2</v>
      </c>
      <c r="CC18" s="9">
        <f t="shared" ca="1" si="4"/>
        <v>5.4000000000000006E-2</v>
      </c>
      <c r="CD18" s="9">
        <f t="shared" ca="1" si="4"/>
        <v>4.0000000000000008E-2</v>
      </c>
      <c r="CE18" s="9">
        <f t="shared" ca="1" si="4"/>
        <v>5.2000000000000005E-2</v>
      </c>
      <c r="CF18" s="9">
        <f t="shared" ca="1" si="4"/>
        <v>4.1800000000000004E-2</v>
      </c>
      <c r="CG18" s="9">
        <f t="shared" ca="1" si="4"/>
        <v>4.4800000000000006E-2</v>
      </c>
      <c r="CH18" s="9">
        <f t="shared" ca="1" si="4"/>
        <v>3.6999999999999998E-2</v>
      </c>
      <c r="CI18" s="9">
        <f t="shared" ca="1" si="4"/>
        <v>3.44E-2</v>
      </c>
      <c r="CJ18" s="9">
        <f t="shared" ca="1" si="4"/>
        <v>4.8600000000000004E-2</v>
      </c>
      <c r="CK18" s="9">
        <f t="shared" ca="1" si="4"/>
        <v>4.3400000000000001E-2</v>
      </c>
      <c r="CL18" s="9">
        <f t="shared" ca="1" si="5"/>
        <v>8.9999999999999993E-3</v>
      </c>
      <c r="CM18" s="9">
        <f t="shared" ca="1" si="6"/>
        <v>1.0000000000000002E-2</v>
      </c>
      <c r="CN18" s="9">
        <f t="shared" ca="1" si="7"/>
        <v>6.0000000000000001E-3</v>
      </c>
      <c r="CO18" s="9">
        <f t="shared" ca="1" si="8"/>
        <v>3.0000000000000001E-3</v>
      </c>
      <c r="CP18" s="9">
        <f t="shared" ca="1" si="9"/>
        <v>1.0000000000000002E-2</v>
      </c>
      <c r="CQ18" s="9">
        <f t="shared" ca="1" si="10"/>
        <v>8.5000000000000006E-3</v>
      </c>
      <c r="CR18" s="9">
        <f t="shared" ca="1" si="11"/>
        <v>1.1500000000000002E-2</v>
      </c>
      <c r="CS18" s="9">
        <f t="shared" ca="1" si="12"/>
        <v>1.0000000000000002E-2</v>
      </c>
      <c r="CT18" s="9">
        <f t="shared" ca="1" si="13"/>
        <v>1.4999999999999999E-2</v>
      </c>
      <c r="CU18" s="9">
        <f t="shared" ca="1" si="14"/>
        <v>4.0000000000000008E-2</v>
      </c>
      <c r="CV18" s="9">
        <f t="shared" ca="1" si="15"/>
        <v>7.6000000000000017E-3</v>
      </c>
      <c r="CW18" s="9">
        <f t="shared" ca="1" si="16"/>
        <v>1.0800000000000002E-2</v>
      </c>
      <c r="CX18" s="9">
        <f t="shared" ca="1" si="17"/>
        <v>0</v>
      </c>
      <c r="CY18" s="9">
        <f t="shared" ca="1" si="18"/>
        <v>1.0400000000000001E-2</v>
      </c>
      <c r="CZ18" s="9">
        <f t="shared" ca="1" si="19"/>
        <v>8.3600000000000011E-3</v>
      </c>
      <c r="DA18" s="9">
        <f t="shared" ca="1" si="20"/>
        <v>8.9600000000000009E-3</v>
      </c>
      <c r="DB18" s="9">
        <f t="shared" ca="1" si="21"/>
        <v>7.4000000000000003E-3</v>
      </c>
      <c r="DC18" s="9">
        <f t="shared" ca="1" si="22"/>
        <v>6.8800000000000007E-3</v>
      </c>
      <c r="DD18" s="9">
        <f t="shared" ca="1" si="23"/>
        <v>9.7200000000000012E-3</v>
      </c>
      <c r="DE18" s="9">
        <f t="shared" ca="1" si="24"/>
        <v>8.6800000000000002E-3</v>
      </c>
      <c r="DG18" s="33"/>
      <c r="DH18" s="27"/>
      <c r="DI18" s="27"/>
      <c r="DJ18" s="39">
        <v>1</v>
      </c>
      <c r="DK18" s="27"/>
      <c r="DL18" s="31">
        <f t="shared" ca="1" si="26"/>
        <v>6.6794218640222461E-2</v>
      </c>
      <c r="DM18" s="31">
        <f t="shared" ca="1" si="25"/>
        <v>5.8053569575636198E-2</v>
      </c>
      <c r="DO18" s="54"/>
    </row>
    <row r="19" spans="1:119" x14ac:dyDescent="0.55000000000000004">
      <c r="A19" s="12">
        <v>11</v>
      </c>
      <c r="B19" s="63" t="s">
        <v>79</v>
      </c>
      <c r="C19" s="60">
        <v>0.11</v>
      </c>
      <c r="D19" s="60">
        <v>0.19</v>
      </c>
      <c r="F19" s="52">
        <f t="shared" ca="1" si="27"/>
        <v>0.2</v>
      </c>
      <c r="G19" s="52">
        <f t="shared" ca="1" si="27"/>
        <v>0.1</v>
      </c>
      <c r="H19" s="52">
        <f t="shared" ca="1" si="27"/>
        <v>0.2</v>
      </c>
      <c r="I19" s="52">
        <f t="shared" ca="1" si="27"/>
        <v>0.2</v>
      </c>
      <c r="J19" s="52">
        <f t="shared" ca="1" si="27"/>
        <v>0.2</v>
      </c>
      <c r="K19" s="52">
        <f t="shared" ca="1" si="27"/>
        <v>0.2</v>
      </c>
      <c r="L19" s="52">
        <f t="shared" ca="1" si="27"/>
        <v>-0.01</v>
      </c>
      <c r="M19" s="52">
        <f t="shared" ca="1" si="27"/>
        <v>0.2</v>
      </c>
      <c r="N19" s="52">
        <f t="shared" ca="1" si="27"/>
        <v>0.2</v>
      </c>
      <c r="O19" s="52">
        <f t="shared" ca="1" si="27"/>
        <v>0.2</v>
      </c>
      <c r="P19" s="50">
        <v>1</v>
      </c>
      <c r="Q19" s="51">
        <v>0.2</v>
      </c>
      <c r="R19" s="51">
        <v>0.2</v>
      </c>
      <c r="S19" s="51">
        <v>0.2</v>
      </c>
      <c r="T19" s="51">
        <v>0.2</v>
      </c>
      <c r="U19" s="51">
        <v>0.2</v>
      </c>
      <c r="V19" s="51">
        <v>0.2</v>
      </c>
      <c r="W19" s="51">
        <v>0.2</v>
      </c>
      <c r="X19" s="51">
        <v>0.2</v>
      </c>
      <c r="Y19" s="51">
        <v>0.2</v>
      </c>
      <c r="AA19" s="60">
        <v>-0.2</v>
      </c>
      <c r="AB19" s="60">
        <v>0.2</v>
      </c>
      <c r="BR19" s="9">
        <f t="shared" ref="BR19:CA28" ca="1" si="28">OFFSET($D$8,BR$8,0)*OFFSET($D$8,$A19,0)</f>
        <v>3.4200000000000001E-2</v>
      </c>
      <c r="BS19" s="9">
        <f t="shared" ca="1" si="28"/>
        <v>3.8000000000000006E-2</v>
      </c>
      <c r="BT19" s="9">
        <f t="shared" ca="1" si="28"/>
        <v>2.2800000000000001E-2</v>
      </c>
      <c r="BU19" s="9">
        <f t="shared" ca="1" si="28"/>
        <v>1.14E-2</v>
      </c>
      <c r="BV19" s="9">
        <f t="shared" ca="1" si="28"/>
        <v>3.8000000000000006E-2</v>
      </c>
      <c r="BW19" s="9">
        <f t="shared" ca="1" si="28"/>
        <v>3.2300000000000002E-2</v>
      </c>
      <c r="BX19" s="9">
        <f t="shared" ca="1" si="28"/>
        <v>4.3700000000000003E-2</v>
      </c>
      <c r="BY19" s="9">
        <f t="shared" ca="1" si="28"/>
        <v>3.8000000000000006E-2</v>
      </c>
      <c r="BZ19" s="9">
        <f t="shared" ca="1" si="28"/>
        <v>5.6999999999999995E-2</v>
      </c>
      <c r="CA19" s="9">
        <f t="shared" ca="1" si="28"/>
        <v>3.8000000000000006E-2</v>
      </c>
      <c r="CB19" s="9">
        <f t="shared" ref="CB19:CK28" ca="1" si="29">OFFSET($D$8,CB$8,0)*OFFSET($D$8,$A19,0)</f>
        <v>3.61E-2</v>
      </c>
      <c r="CC19" s="9">
        <f t="shared" ca="1" si="29"/>
        <v>5.1300000000000005E-2</v>
      </c>
      <c r="CD19" s="9">
        <f t="shared" ca="1" si="29"/>
        <v>3.8000000000000006E-2</v>
      </c>
      <c r="CE19" s="9">
        <f t="shared" ca="1" si="29"/>
        <v>4.9399999999999999E-2</v>
      </c>
      <c r="CF19" s="9">
        <f t="shared" ca="1" si="29"/>
        <v>3.9710000000000002E-2</v>
      </c>
      <c r="CG19" s="9">
        <f t="shared" ca="1" si="29"/>
        <v>4.2560000000000001E-2</v>
      </c>
      <c r="CH19" s="9">
        <f t="shared" ca="1" si="29"/>
        <v>3.5150000000000001E-2</v>
      </c>
      <c r="CI19" s="9">
        <f t="shared" ca="1" si="29"/>
        <v>3.2680000000000001E-2</v>
      </c>
      <c r="CJ19" s="9">
        <f t="shared" ca="1" si="29"/>
        <v>4.6170000000000003E-2</v>
      </c>
      <c r="CK19" s="9">
        <f t="shared" ca="1" si="29"/>
        <v>4.1230000000000003E-2</v>
      </c>
      <c r="CL19" s="9">
        <f t="shared" ca="1" si="5"/>
        <v>6.8400000000000006E-3</v>
      </c>
      <c r="CM19" s="9">
        <f t="shared" ca="1" si="6"/>
        <v>3.8000000000000009E-3</v>
      </c>
      <c r="CN19" s="9">
        <f t="shared" ca="1" si="7"/>
        <v>4.5600000000000007E-3</v>
      </c>
      <c r="CO19" s="9">
        <f t="shared" ca="1" si="8"/>
        <v>2.2800000000000003E-3</v>
      </c>
      <c r="CP19" s="9">
        <f t="shared" ca="1" si="9"/>
        <v>7.6000000000000017E-3</v>
      </c>
      <c r="CQ19" s="9">
        <f t="shared" ca="1" si="10"/>
        <v>6.4600000000000005E-3</v>
      </c>
      <c r="CR19" s="9">
        <f t="shared" ca="1" si="11"/>
        <v>-4.3700000000000005E-4</v>
      </c>
      <c r="CS19" s="9">
        <f t="shared" ca="1" si="12"/>
        <v>7.6000000000000017E-3</v>
      </c>
      <c r="CT19" s="9">
        <f t="shared" ca="1" si="13"/>
        <v>1.14E-2</v>
      </c>
      <c r="CU19" s="9">
        <f t="shared" ca="1" si="14"/>
        <v>7.6000000000000017E-3</v>
      </c>
      <c r="CV19" s="9">
        <f t="shared" ca="1" si="15"/>
        <v>3.61E-2</v>
      </c>
      <c r="CW19" s="9">
        <f t="shared" ca="1" si="16"/>
        <v>1.0260000000000002E-2</v>
      </c>
      <c r="CX19" s="9">
        <f t="shared" ca="1" si="17"/>
        <v>7.6000000000000017E-3</v>
      </c>
      <c r="CY19" s="9">
        <f t="shared" ca="1" si="18"/>
        <v>9.8799999999999999E-3</v>
      </c>
      <c r="CZ19" s="9">
        <f t="shared" ca="1" si="19"/>
        <v>7.9420000000000011E-3</v>
      </c>
      <c r="DA19" s="9">
        <f t="shared" ca="1" si="20"/>
        <v>8.5120000000000005E-3</v>
      </c>
      <c r="DB19" s="9">
        <f t="shared" ca="1" si="21"/>
        <v>7.0300000000000007E-3</v>
      </c>
      <c r="DC19" s="9">
        <f t="shared" ca="1" si="22"/>
        <v>6.5360000000000001E-3</v>
      </c>
      <c r="DD19" s="9">
        <f t="shared" ca="1" si="23"/>
        <v>9.2340000000000009E-3</v>
      </c>
      <c r="DE19" s="9">
        <f t="shared" ca="1" si="24"/>
        <v>8.2460000000000016E-3</v>
      </c>
      <c r="DG19" s="33"/>
      <c r="DH19" s="27"/>
      <c r="DI19" s="27"/>
      <c r="DJ19" s="39">
        <v>1</v>
      </c>
      <c r="DK19" s="27"/>
      <c r="DL19" s="31">
        <f t="shared" ca="1" si="26"/>
        <v>7.3440285547214781E-2</v>
      </c>
      <c r="DM19" s="31">
        <f t="shared" ca="1" si="25"/>
        <v>5.8054071677737552E-2</v>
      </c>
      <c r="DO19" s="54"/>
    </row>
    <row r="20" spans="1:119" x14ac:dyDescent="0.55000000000000004">
      <c r="A20" s="12">
        <v>12</v>
      </c>
      <c r="B20" s="63" t="s">
        <v>80</v>
      </c>
      <c r="C20" s="60">
        <v>0.15</v>
      </c>
      <c r="D20" s="60">
        <v>0.27</v>
      </c>
      <c r="F20" s="52">
        <f t="shared" ca="1" si="27"/>
        <v>0.2</v>
      </c>
      <c r="G20" s="52">
        <f t="shared" ca="1" si="27"/>
        <v>0.2</v>
      </c>
      <c r="H20" s="52">
        <f t="shared" ca="1" si="27"/>
        <v>0.2</v>
      </c>
      <c r="I20" s="52">
        <f t="shared" ca="1" si="27"/>
        <v>0.2</v>
      </c>
      <c r="J20" s="52">
        <f t="shared" ca="1" si="27"/>
        <v>0.2</v>
      </c>
      <c r="K20" s="52">
        <f t="shared" ca="1" si="27"/>
        <v>0.2</v>
      </c>
      <c r="L20" s="52">
        <f t="shared" ca="1" si="27"/>
        <v>0.2</v>
      </c>
      <c r="M20" s="52">
        <f t="shared" ca="1" si="27"/>
        <v>0</v>
      </c>
      <c r="N20" s="52">
        <f t="shared" ca="1" si="27"/>
        <v>0.2</v>
      </c>
      <c r="O20" s="52">
        <f t="shared" ca="1" si="27"/>
        <v>0.2</v>
      </c>
      <c r="P20" s="52">
        <f t="shared" ca="1" si="27"/>
        <v>0.2</v>
      </c>
      <c r="Q20" s="50">
        <v>1</v>
      </c>
      <c r="R20" s="51">
        <v>0.2</v>
      </c>
      <c r="S20" s="51">
        <v>0.2</v>
      </c>
      <c r="T20" s="51">
        <v>0.2</v>
      </c>
      <c r="U20" s="51">
        <v>0.2</v>
      </c>
      <c r="V20" s="51">
        <v>0.2</v>
      </c>
      <c r="W20" s="51">
        <v>0.2</v>
      </c>
      <c r="X20" s="51">
        <v>0.2</v>
      </c>
      <c r="Y20" s="51">
        <v>0.2</v>
      </c>
      <c r="AA20" s="60">
        <v>-0.2</v>
      </c>
      <c r="AB20" s="60">
        <v>0.2</v>
      </c>
      <c r="BR20" s="9">
        <f t="shared" ca="1" si="28"/>
        <v>4.8600000000000004E-2</v>
      </c>
      <c r="BS20" s="9">
        <f t="shared" ca="1" si="28"/>
        <v>5.4000000000000006E-2</v>
      </c>
      <c r="BT20" s="9">
        <f t="shared" ca="1" si="28"/>
        <v>3.2399999999999998E-2</v>
      </c>
      <c r="BU20" s="9">
        <f t="shared" ca="1" si="28"/>
        <v>1.6199999999999999E-2</v>
      </c>
      <c r="BV20" s="9">
        <f t="shared" ca="1" si="28"/>
        <v>5.4000000000000006E-2</v>
      </c>
      <c r="BW20" s="9">
        <f t="shared" ca="1" si="28"/>
        <v>4.5900000000000003E-2</v>
      </c>
      <c r="BX20" s="9">
        <f t="shared" ca="1" si="28"/>
        <v>6.2100000000000009E-2</v>
      </c>
      <c r="BY20" s="9">
        <f t="shared" ca="1" si="28"/>
        <v>5.4000000000000006E-2</v>
      </c>
      <c r="BZ20" s="9">
        <f t="shared" ca="1" si="28"/>
        <v>8.1000000000000003E-2</v>
      </c>
      <c r="CA20" s="9">
        <f t="shared" ca="1" si="28"/>
        <v>5.4000000000000006E-2</v>
      </c>
      <c r="CB20" s="9">
        <f t="shared" ca="1" si="29"/>
        <v>5.1300000000000005E-2</v>
      </c>
      <c r="CC20" s="9">
        <f t="shared" ca="1" si="29"/>
        <v>7.2900000000000006E-2</v>
      </c>
      <c r="CD20" s="9">
        <f t="shared" ca="1" si="29"/>
        <v>5.4000000000000006E-2</v>
      </c>
      <c r="CE20" s="9">
        <f t="shared" ca="1" si="29"/>
        <v>7.0200000000000012E-2</v>
      </c>
      <c r="CF20" s="9">
        <f t="shared" ca="1" si="29"/>
        <v>5.6430000000000001E-2</v>
      </c>
      <c r="CG20" s="9">
        <f t="shared" ca="1" si="29"/>
        <v>6.0480000000000006E-2</v>
      </c>
      <c r="CH20" s="9">
        <f t="shared" ca="1" si="29"/>
        <v>4.9950000000000001E-2</v>
      </c>
      <c r="CI20" s="9">
        <f t="shared" ca="1" si="29"/>
        <v>4.6440000000000002E-2</v>
      </c>
      <c r="CJ20" s="9">
        <f t="shared" ca="1" si="29"/>
        <v>6.5610000000000002E-2</v>
      </c>
      <c r="CK20" s="9">
        <f t="shared" ca="1" si="29"/>
        <v>5.8590000000000003E-2</v>
      </c>
      <c r="CL20" s="9">
        <f t="shared" ca="1" si="5"/>
        <v>9.7200000000000012E-3</v>
      </c>
      <c r="CM20" s="9">
        <f t="shared" ca="1" si="6"/>
        <v>1.0800000000000002E-2</v>
      </c>
      <c r="CN20" s="9">
        <f t="shared" ca="1" si="7"/>
        <v>6.4799999999999996E-3</v>
      </c>
      <c r="CO20" s="9">
        <f t="shared" ca="1" si="8"/>
        <v>3.2399999999999998E-3</v>
      </c>
      <c r="CP20" s="9">
        <f t="shared" ca="1" si="9"/>
        <v>1.0800000000000002E-2</v>
      </c>
      <c r="CQ20" s="9">
        <f t="shared" ca="1" si="10"/>
        <v>9.1800000000000007E-3</v>
      </c>
      <c r="CR20" s="9">
        <f t="shared" ca="1" si="11"/>
        <v>1.2420000000000002E-2</v>
      </c>
      <c r="CS20" s="9">
        <f t="shared" ca="1" si="12"/>
        <v>0</v>
      </c>
      <c r="CT20" s="9">
        <f t="shared" ca="1" si="13"/>
        <v>1.6200000000000003E-2</v>
      </c>
      <c r="CU20" s="9">
        <f t="shared" ca="1" si="14"/>
        <v>1.0800000000000002E-2</v>
      </c>
      <c r="CV20" s="9">
        <f t="shared" ca="1" si="15"/>
        <v>1.0260000000000002E-2</v>
      </c>
      <c r="CW20" s="9">
        <f t="shared" ca="1" si="16"/>
        <v>7.2900000000000006E-2</v>
      </c>
      <c r="CX20" s="9">
        <f t="shared" ca="1" si="17"/>
        <v>1.0800000000000002E-2</v>
      </c>
      <c r="CY20" s="9">
        <f t="shared" ca="1" si="18"/>
        <v>1.4040000000000004E-2</v>
      </c>
      <c r="CZ20" s="9">
        <f t="shared" ca="1" si="19"/>
        <v>1.1286000000000001E-2</v>
      </c>
      <c r="DA20" s="9">
        <f t="shared" ca="1" si="20"/>
        <v>1.2096000000000003E-2</v>
      </c>
      <c r="DB20" s="9">
        <f t="shared" ca="1" si="21"/>
        <v>9.9900000000000006E-3</v>
      </c>
      <c r="DC20" s="9">
        <f t="shared" ca="1" si="22"/>
        <v>9.2880000000000011E-3</v>
      </c>
      <c r="DD20" s="9">
        <f t="shared" ca="1" si="23"/>
        <v>1.3122000000000002E-2</v>
      </c>
      <c r="DE20" s="9">
        <f t="shared" ca="1" si="24"/>
        <v>1.1718000000000001E-2</v>
      </c>
      <c r="DG20" s="33"/>
      <c r="DH20" s="27"/>
      <c r="DI20" s="27"/>
      <c r="DJ20" s="39">
        <v>1</v>
      </c>
      <c r="DK20" s="27"/>
      <c r="DL20" s="31">
        <f t="shared" ca="1" si="26"/>
        <v>8.0086352454207102E-2</v>
      </c>
      <c r="DM20" s="31">
        <f t="shared" ca="1" si="25"/>
        <v>6.1941241758945061E-2</v>
      </c>
      <c r="DO20" s="54"/>
    </row>
    <row r="21" spans="1:119" x14ac:dyDescent="0.55000000000000004">
      <c r="A21" s="12">
        <v>13</v>
      </c>
      <c r="B21" s="63" t="s">
        <v>81</v>
      </c>
      <c r="C21" s="60">
        <v>0.14000000000000001</v>
      </c>
      <c r="D21" s="60">
        <v>0.2</v>
      </c>
      <c r="F21" s="52">
        <f t="shared" ca="1" si="27"/>
        <v>0.2</v>
      </c>
      <c r="G21" s="52">
        <f t="shared" ca="1" si="27"/>
        <v>0.2</v>
      </c>
      <c r="H21" s="52">
        <f t="shared" ca="1" si="27"/>
        <v>0.2</v>
      </c>
      <c r="I21" s="52">
        <f t="shared" ca="1" si="27"/>
        <v>0.2</v>
      </c>
      <c r="J21" s="52">
        <f t="shared" ca="1" si="27"/>
        <v>0.2</v>
      </c>
      <c r="K21" s="52">
        <f t="shared" ca="1" si="27"/>
        <v>0.2</v>
      </c>
      <c r="L21" s="52">
        <f t="shared" ca="1" si="27"/>
        <v>0.2</v>
      </c>
      <c r="M21" s="52">
        <f t="shared" ca="1" si="27"/>
        <v>0.2</v>
      </c>
      <c r="N21" s="52">
        <f t="shared" ca="1" si="27"/>
        <v>0.2</v>
      </c>
      <c r="O21" s="52">
        <f t="shared" ca="1" si="27"/>
        <v>0</v>
      </c>
      <c r="P21" s="52">
        <f t="shared" ca="1" si="27"/>
        <v>0.2</v>
      </c>
      <c r="Q21" s="52">
        <f t="shared" ca="1" si="27"/>
        <v>0.2</v>
      </c>
      <c r="R21" s="50">
        <v>1</v>
      </c>
      <c r="S21" s="51">
        <v>0.2</v>
      </c>
      <c r="T21" s="51">
        <v>0.2</v>
      </c>
      <c r="U21" s="51">
        <v>0.2</v>
      </c>
      <c r="V21" s="51">
        <v>0.2</v>
      </c>
      <c r="W21" s="51">
        <v>0.2</v>
      </c>
      <c r="X21" s="51">
        <v>0.2</v>
      </c>
      <c r="Y21" s="51">
        <v>0.2</v>
      </c>
      <c r="AA21" s="60">
        <v>-0.2</v>
      </c>
      <c r="AB21" s="60">
        <v>0.2</v>
      </c>
      <c r="BR21" s="9">
        <f t="shared" ca="1" si="28"/>
        <v>3.5999999999999997E-2</v>
      </c>
      <c r="BS21" s="9">
        <f t="shared" ca="1" si="28"/>
        <v>4.0000000000000008E-2</v>
      </c>
      <c r="BT21" s="9">
        <f t="shared" ca="1" si="28"/>
        <v>2.4E-2</v>
      </c>
      <c r="BU21" s="9">
        <f t="shared" ca="1" si="28"/>
        <v>1.2E-2</v>
      </c>
      <c r="BV21" s="9">
        <f t="shared" ca="1" si="28"/>
        <v>4.0000000000000008E-2</v>
      </c>
      <c r="BW21" s="9">
        <f t="shared" ca="1" si="28"/>
        <v>3.4000000000000002E-2</v>
      </c>
      <c r="BX21" s="9">
        <f t="shared" ca="1" si="28"/>
        <v>4.6000000000000006E-2</v>
      </c>
      <c r="BY21" s="9">
        <f t="shared" ca="1" si="28"/>
        <v>4.0000000000000008E-2</v>
      </c>
      <c r="BZ21" s="9">
        <f t="shared" ca="1" si="28"/>
        <v>0.06</v>
      </c>
      <c r="CA21" s="9">
        <f t="shared" ca="1" si="28"/>
        <v>4.0000000000000008E-2</v>
      </c>
      <c r="CB21" s="9">
        <f t="shared" ca="1" si="29"/>
        <v>3.8000000000000006E-2</v>
      </c>
      <c r="CC21" s="9">
        <f t="shared" ca="1" si="29"/>
        <v>5.4000000000000006E-2</v>
      </c>
      <c r="CD21" s="9">
        <f t="shared" ca="1" si="29"/>
        <v>4.0000000000000008E-2</v>
      </c>
      <c r="CE21" s="9">
        <f t="shared" ca="1" si="29"/>
        <v>5.2000000000000005E-2</v>
      </c>
      <c r="CF21" s="9">
        <f t="shared" ca="1" si="29"/>
        <v>4.1800000000000004E-2</v>
      </c>
      <c r="CG21" s="9">
        <f t="shared" ca="1" si="29"/>
        <v>4.4800000000000006E-2</v>
      </c>
      <c r="CH21" s="9">
        <f t="shared" ca="1" si="29"/>
        <v>3.6999999999999998E-2</v>
      </c>
      <c r="CI21" s="9">
        <f t="shared" ca="1" si="29"/>
        <v>3.44E-2</v>
      </c>
      <c r="CJ21" s="9">
        <f t="shared" ca="1" si="29"/>
        <v>4.8600000000000004E-2</v>
      </c>
      <c r="CK21" s="9">
        <f t="shared" ca="1" si="29"/>
        <v>4.3400000000000001E-2</v>
      </c>
      <c r="CL21" s="9">
        <f t="shared" ca="1" si="5"/>
        <v>7.1999999999999998E-3</v>
      </c>
      <c r="CM21" s="9">
        <f t="shared" ca="1" si="6"/>
        <v>8.0000000000000019E-3</v>
      </c>
      <c r="CN21" s="9">
        <f t="shared" ca="1" si="7"/>
        <v>4.8000000000000004E-3</v>
      </c>
      <c r="CO21" s="9">
        <f t="shared" ca="1" si="8"/>
        <v>2.4000000000000002E-3</v>
      </c>
      <c r="CP21" s="9">
        <f t="shared" ca="1" si="9"/>
        <v>8.0000000000000019E-3</v>
      </c>
      <c r="CQ21" s="9">
        <f t="shared" ca="1" si="10"/>
        <v>6.8000000000000005E-3</v>
      </c>
      <c r="CR21" s="9">
        <f t="shared" ca="1" si="11"/>
        <v>9.2000000000000016E-3</v>
      </c>
      <c r="CS21" s="9">
        <f t="shared" ca="1" si="12"/>
        <v>8.0000000000000019E-3</v>
      </c>
      <c r="CT21" s="9">
        <f t="shared" ca="1" si="13"/>
        <v>1.2E-2</v>
      </c>
      <c r="CU21" s="9">
        <f t="shared" ca="1" si="14"/>
        <v>0</v>
      </c>
      <c r="CV21" s="9">
        <f t="shared" ca="1" si="15"/>
        <v>7.6000000000000017E-3</v>
      </c>
      <c r="CW21" s="9">
        <f t="shared" ca="1" si="16"/>
        <v>1.0800000000000002E-2</v>
      </c>
      <c r="CX21" s="9">
        <f t="shared" ca="1" si="17"/>
        <v>4.0000000000000008E-2</v>
      </c>
      <c r="CY21" s="9">
        <f t="shared" ca="1" si="18"/>
        <v>1.0400000000000001E-2</v>
      </c>
      <c r="CZ21" s="9">
        <f t="shared" ca="1" si="19"/>
        <v>8.3600000000000011E-3</v>
      </c>
      <c r="DA21" s="9">
        <f t="shared" ca="1" si="20"/>
        <v>8.9600000000000009E-3</v>
      </c>
      <c r="DB21" s="9">
        <f t="shared" ca="1" si="21"/>
        <v>7.4000000000000003E-3</v>
      </c>
      <c r="DC21" s="9">
        <f t="shared" ca="1" si="22"/>
        <v>6.8800000000000007E-3</v>
      </c>
      <c r="DD21" s="9">
        <f t="shared" ca="1" si="23"/>
        <v>9.7200000000000012E-3</v>
      </c>
      <c r="DE21" s="9">
        <f t="shared" ca="1" si="24"/>
        <v>8.6800000000000002E-3</v>
      </c>
      <c r="DG21" s="33"/>
      <c r="DH21" s="27"/>
      <c r="DI21" s="27"/>
      <c r="DJ21" s="39">
        <v>1</v>
      </c>
      <c r="DK21" s="27"/>
      <c r="DL21" s="31">
        <f t="shared" ca="1" si="26"/>
        <v>8.6732419361199423E-2</v>
      </c>
      <c r="DM21" s="31">
        <f t="shared" ca="1" si="25"/>
        <v>6.9061881796702987E-2</v>
      </c>
      <c r="DO21" s="54"/>
    </row>
    <row r="22" spans="1:119" x14ac:dyDescent="0.55000000000000004">
      <c r="A22" s="12">
        <v>14</v>
      </c>
      <c r="B22" s="63" t="s">
        <v>82</v>
      </c>
      <c r="C22" s="60">
        <v>0.13</v>
      </c>
      <c r="D22" s="60">
        <v>0.26</v>
      </c>
      <c r="F22" s="52">
        <f t="shared" ca="1" si="27"/>
        <v>0.2</v>
      </c>
      <c r="G22" s="52">
        <f t="shared" ca="1" si="27"/>
        <v>0.05</v>
      </c>
      <c r="H22" s="52">
        <f t="shared" ca="1" si="27"/>
        <v>0.2</v>
      </c>
      <c r="I22" s="52">
        <f t="shared" ca="1" si="27"/>
        <v>0.2</v>
      </c>
      <c r="J22" s="52">
        <f t="shared" ca="1" si="27"/>
        <v>0.4</v>
      </c>
      <c r="K22" s="52">
        <f t="shared" ca="1" si="27"/>
        <v>0.2</v>
      </c>
      <c r="L22" s="52">
        <f t="shared" ca="1" si="27"/>
        <v>0.2</v>
      </c>
      <c r="M22" s="52">
        <f t="shared" ca="1" si="27"/>
        <v>0.2</v>
      </c>
      <c r="N22" s="52">
        <f t="shared" ca="1" si="27"/>
        <v>0.2</v>
      </c>
      <c r="O22" s="52">
        <f t="shared" ca="1" si="27"/>
        <v>0.2</v>
      </c>
      <c r="P22" s="52">
        <f t="shared" ca="1" si="27"/>
        <v>0.2</v>
      </c>
      <c r="Q22" s="52">
        <f t="shared" ca="1" si="27"/>
        <v>0.2</v>
      </c>
      <c r="R22" s="52">
        <f t="shared" ca="1" si="27"/>
        <v>0.2</v>
      </c>
      <c r="S22" s="50">
        <v>1</v>
      </c>
      <c r="T22" s="51">
        <v>0.2</v>
      </c>
      <c r="U22" s="51">
        <v>0.2</v>
      </c>
      <c r="V22" s="51">
        <v>0.2</v>
      </c>
      <c r="W22" s="51">
        <v>0.2</v>
      </c>
      <c r="X22" s="51">
        <v>0.2</v>
      </c>
      <c r="Y22" s="51">
        <v>0.2</v>
      </c>
      <c r="AA22" s="60">
        <v>-0.2</v>
      </c>
      <c r="AB22" s="60">
        <v>0.2</v>
      </c>
      <c r="BR22" s="9">
        <f t="shared" ca="1" si="28"/>
        <v>4.6800000000000001E-2</v>
      </c>
      <c r="BS22" s="9">
        <f t="shared" ca="1" si="28"/>
        <v>5.2000000000000005E-2</v>
      </c>
      <c r="BT22" s="9">
        <f t="shared" ca="1" si="28"/>
        <v>3.1199999999999999E-2</v>
      </c>
      <c r="BU22" s="9">
        <f t="shared" ca="1" si="28"/>
        <v>1.5599999999999999E-2</v>
      </c>
      <c r="BV22" s="9">
        <f t="shared" ca="1" si="28"/>
        <v>5.2000000000000005E-2</v>
      </c>
      <c r="BW22" s="9">
        <f t="shared" ca="1" si="28"/>
        <v>4.4200000000000003E-2</v>
      </c>
      <c r="BX22" s="9">
        <f t="shared" ca="1" si="28"/>
        <v>5.9800000000000006E-2</v>
      </c>
      <c r="BY22" s="9">
        <f t="shared" ca="1" si="28"/>
        <v>5.2000000000000005E-2</v>
      </c>
      <c r="BZ22" s="9">
        <f t="shared" ca="1" si="28"/>
        <v>7.8E-2</v>
      </c>
      <c r="CA22" s="9">
        <f t="shared" ca="1" si="28"/>
        <v>5.2000000000000005E-2</v>
      </c>
      <c r="CB22" s="9">
        <f t="shared" ca="1" si="29"/>
        <v>4.9399999999999999E-2</v>
      </c>
      <c r="CC22" s="9">
        <f t="shared" ca="1" si="29"/>
        <v>7.0200000000000012E-2</v>
      </c>
      <c r="CD22" s="9">
        <f t="shared" ca="1" si="29"/>
        <v>5.2000000000000005E-2</v>
      </c>
      <c r="CE22" s="9">
        <f t="shared" ca="1" si="29"/>
        <v>6.7600000000000007E-2</v>
      </c>
      <c r="CF22" s="9">
        <f t="shared" ca="1" si="29"/>
        <v>5.4339999999999999E-2</v>
      </c>
      <c r="CG22" s="9">
        <f t="shared" ca="1" si="29"/>
        <v>5.824E-2</v>
      </c>
      <c r="CH22" s="9">
        <f t="shared" ca="1" si="29"/>
        <v>4.8100000000000004E-2</v>
      </c>
      <c r="CI22" s="9">
        <f t="shared" ca="1" si="29"/>
        <v>4.4719999999999996E-2</v>
      </c>
      <c r="CJ22" s="9">
        <f t="shared" ca="1" si="29"/>
        <v>6.318E-2</v>
      </c>
      <c r="CK22" s="9">
        <f t="shared" ca="1" si="29"/>
        <v>5.6420000000000005E-2</v>
      </c>
      <c r="CL22" s="9">
        <f t="shared" ca="1" si="5"/>
        <v>9.3600000000000003E-3</v>
      </c>
      <c r="CM22" s="9">
        <f t="shared" ca="1" si="6"/>
        <v>2.6000000000000003E-3</v>
      </c>
      <c r="CN22" s="9">
        <f t="shared" ca="1" si="7"/>
        <v>6.2399999999999999E-3</v>
      </c>
      <c r="CO22" s="9">
        <f t="shared" ca="1" si="8"/>
        <v>3.1199999999999999E-3</v>
      </c>
      <c r="CP22" s="9">
        <f t="shared" ca="1" si="9"/>
        <v>2.0800000000000003E-2</v>
      </c>
      <c r="CQ22" s="9">
        <f t="shared" ca="1" si="10"/>
        <v>8.8400000000000006E-3</v>
      </c>
      <c r="CR22" s="9">
        <f t="shared" ca="1" si="11"/>
        <v>1.1960000000000002E-2</v>
      </c>
      <c r="CS22" s="9">
        <f t="shared" ca="1" si="12"/>
        <v>1.0400000000000001E-2</v>
      </c>
      <c r="CT22" s="9">
        <f t="shared" ca="1" si="13"/>
        <v>1.5600000000000001E-2</v>
      </c>
      <c r="CU22" s="9">
        <f t="shared" ca="1" si="14"/>
        <v>1.0400000000000001E-2</v>
      </c>
      <c r="CV22" s="9">
        <f t="shared" ca="1" si="15"/>
        <v>9.8799999999999999E-3</v>
      </c>
      <c r="CW22" s="9">
        <f t="shared" ca="1" si="16"/>
        <v>1.4040000000000004E-2</v>
      </c>
      <c r="CX22" s="9">
        <f t="shared" ca="1" si="17"/>
        <v>1.0400000000000001E-2</v>
      </c>
      <c r="CY22" s="9">
        <f t="shared" ca="1" si="18"/>
        <v>6.7600000000000007E-2</v>
      </c>
      <c r="CZ22" s="9">
        <f t="shared" ca="1" si="19"/>
        <v>1.0868000000000001E-2</v>
      </c>
      <c r="DA22" s="9">
        <f t="shared" ca="1" si="20"/>
        <v>1.1648E-2</v>
      </c>
      <c r="DB22" s="9">
        <f t="shared" ca="1" si="21"/>
        <v>9.6200000000000018E-3</v>
      </c>
      <c r="DC22" s="9">
        <f t="shared" ca="1" si="22"/>
        <v>8.9439999999999988E-3</v>
      </c>
      <c r="DD22" s="9">
        <f t="shared" ca="1" si="23"/>
        <v>1.2636000000000001E-2</v>
      </c>
      <c r="DE22" s="9">
        <f t="shared" ca="1" si="24"/>
        <v>1.1284000000000002E-2</v>
      </c>
      <c r="DG22" s="33"/>
      <c r="DH22" s="27"/>
      <c r="DI22" s="27"/>
      <c r="DJ22" s="39">
        <v>1</v>
      </c>
      <c r="DK22" s="27"/>
      <c r="DL22" s="31">
        <f t="shared" ca="1" si="26"/>
        <v>9.3378486268191743E-2</v>
      </c>
      <c r="DM22" s="31">
        <f t="shared" ca="1" si="25"/>
        <v>7.8541412632757074E-2</v>
      </c>
      <c r="DO22" s="54"/>
    </row>
    <row r="23" spans="1:119" x14ac:dyDescent="0.55000000000000004">
      <c r="A23" s="12">
        <v>15</v>
      </c>
      <c r="B23" s="63" t="s">
        <v>83</v>
      </c>
      <c r="C23" s="60">
        <v>0.127</v>
      </c>
      <c r="D23" s="60">
        <v>0.20899999999999999</v>
      </c>
      <c r="F23" s="52">
        <f t="shared" ca="1" si="27"/>
        <v>0.2</v>
      </c>
      <c r="G23" s="52">
        <f t="shared" ca="1" si="27"/>
        <v>0.2</v>
      </c>
      <c r="H23" s="52">
        <f t="shared" ca="1" si="27"/>
        <v>0.2</v>
      </c>
      <c r="I23" s="52">
        <f t="shared" ca="1" si="27"/>
        <v>0.2</v>
      </c>
      <c r="J23" s="52">
        <f t="shared" ca="1" si="27"/>
        <v>0.2</v>
      </c>
      <c r="K23" s="52">
        <f t="shared" ca="1" si="27"/>
        <v>0.2</v>
      </c>
      <c r="L23" s="52">
        <f t="shared" ca="1" si="27"/>
        <v>0.2</v>
      </c>
      <c r="M23" s="52">
        <f t="shared" ca="1" si="27"/>
        <v>0.2</v>
      </c>
      <c r="N23" s="52">
        <f t="shared" ca="1" si="27"/>
        <v>0.2</v>
      </c>
      <c r="O23" s="52">
        <f t="shared" ca="1" si="27"/>
        <v>0.2</v>
      </c>
      <c r="P23" s="52">
        <f t="shared" ca="1" si="27"/>
        <v>0.2</v>
      </c>
      <c r="Q23" s="52">
        <f t="shared" ca="1" si="27"/>
        <v>0.2</v>
      </c>
      <c r="R23" s="52">
        <f t="shared" ca="1" si="27"/>
        <v>0.2</v>
      </c>
      <c r="S23" s="52">
        <f t="shared" ca="1" si="27"/>
        <v>0.2</v>
      </c>
      <c r="T23" s="50">
        <v>1</v>
      </c>
      <c r="U23" s="51">
        <v>0.2</v>
      </c>
      <c r="V23" s="51">
        <v>0.2</v>
      </c>
      <c r="W23" s="51">
        <v>0.2</v>
      </c>
      <c r="X23" s="51">
        <v>0.2</v>
      </c>
      <c r="Y23" s="51">
        <v>0.2</v>
      </c>
      <c r="AA23" s="60">
        <v>-0.2</v>
      </c>
      <c r="AB23" s="60">
        <v>0.2</v>
      </c>
      <c r="BR23" s="9">
        <f t="shared" ca="1" si="28"/>
        <v>3.7619999999999994E-2</v>
      </c>
      <c r="BS23" s="9">
        <f t="shared" ca="1" si="28"/>
        <v>4.1800000000000004E-2</v>
      </c>
      <c r="BT23" s="9">
        <f t="shared" ca="1" si="28"/>
        <v>2.5079999999999998E-2</v>
      </c>
      <c r="BU23" s="9">
        <f t="shared" ca="1" si="28"/>
        <v>1.2539999999999999E-2</v>
      </c>
      <c r="BV23" s="9">
        <f t="shared" ca="1" si="28"/>
        <v>4.1800000000000004E-2</v>
      </c>
      <c r="BW23" s="9">
        <f t="shared" ca="1" si="28"/>
        <v>3.5529999999999999E-2</v>
      </c>
      <c r="BX23" s="9">
        <f t="shared" ca="1" si="28"/>
        <v>4.8070000000000002E-2</v>
      </c>
      <c r="BY23" s="9">
        <f t="shared" ca="1" si="28"/>
        <v>4.1800000000000004E-2</v>
      </c>
      <c r="BZ23" s="9">
        <f t="shared" ca="1" si="28"/>
        <v>6.2699999999999992E-2</v>
      </c>
      <c r="CA23" s="9">
        <f t="shared" ca="1" si="28"/>
        <v>4.1800000000000004E-2</v>
      </c>
      <c r="CB23" s="9">
        <f t="shared" ca="1" si="29"/>
        <v>3.9710000000000002E-2</v>
      </c>
      <c r="CC23" s="9">
        <f t="shared" ca="1" si="29"/>
        <v>5.6430000000000001E-2</v>
      </c>
      <c r="CD23" s="9">
        <f t="shared" ca="1" si="29"/>
        <v>4.1800000000000004E-2</v>
      </c>
      <c r="CE23" s="9">
        <f t="shared" ca="1" si="29"/>
        <v>5.4339999999999999E-2</v>
      </c>
      <c r="CF23" s="9">
        <f t="shared" ca="1" si="29"/>
        <v>4.3680999999999998E-2</v>
      </c>
      <c r="CG23" s="9">
        <f t="shared" ca="1" si="29"/>
        <v>4.6815999999999997E-2</v>
      </c>
      <c r="CH23" s="9">
        <f t="shared" ca="1" si="29"/>
        <v>3.8664999999999998E-2</v>
      </c>
      <c r="CI23" s="9">
        <f t="shared" ca="1" si="29"/>
        <v>3.5947999999999994E-2</v>
      </c>
      <c r="CJ23" s="9">
        <f t="shared" ca="1" si="29"/>
        <v>5.0786999999999999E-2</v>
      </c>
      <c r="CK23" s="9">
        <f t="shared" ca="1" si="29"/>
        <v>4.5352999999999997E-2</v>
      </c>
      <c r="CL23" s="9">
        <f t="shared" ca="1" si="5"/>
        <v>7.5239999999999994E-3</v>
      </c>
      <c r="CM23" s="9">
        <f t="shared" ca="1" si="6"/>
        <v>8.3600000000000011E-3</v>
      </c>
      <c r="CN23" s="9">
        <f t="shared" ca="1" si="7"/>
        <v>5.0159999999999996E-3</v>
      </c>
      <c r="CO23" s="9">
        <f t="shared" ca="1" si="8"/>
        <v>2.5079999999999998E-3</v>
      </c>
      <c r="CP23" s="9">
        <f t="shared" ca="1" si="9"/>
        <v>8.3600000000000011E-3</v>
      </c>
      <c r="CQ23" s="9">
        <f t="shared" ca="1" si="10"/>
        <v>7.1060000000000003E-3</v>
      </c>
      <c r="CR23" s="9">
        <f t="shared" ca="1" si="11"/>
        <v>9.614000000000001E-3</v>
      </c>
      <c r="CS23" s="9">
        <f t="shared" ca="1" si="12"/>
        <v>8.3600000000000011E-3</v>
      </c>
      <c r="CT23" s="9">
        <f t="shared" ca="1" si="13"/>
        <v>1.2539999999999999E-2</v>
      </c>
      <c r="CU23" s="9">
        <f t="shared" ca="1" si="14"/>
        <v>8.3600000000000011E-3</v>
      </c>
      <c r="CV23" s="9">
        <f t="shared" ca="1" si="15"/>
        <v>7.9420000000000011E-3</v>
      </c>
      <c r="CW23" s="9">
        <f t="shared" ca="1" si="16"/>
        <v>1.1286000000000001E-2</v>
      </c>
      <c r="CX23" s="9">
        <f t="shared" ca="1" si="17"/>
        <v>8.3600000000000011E-3</v>
      </c>
      <c r="CY23" s="9">
        <f t="shared" ca="1" si="18"/>
        <v>1.0868000000000001E-2</v>
      </c>
      <c r="CZ23" s="9">
        <f t="shared" ca="1" si="19"/>
        <v>4.3680999999999998E-2</v>
      </c>
      <c r="DA23" s="9">
        <f t="shared" ca="1" si="20"/>
        <v>9.3632000000000003E-3</v>
      </c>
      <c r="DB23" s="9">
        <f t="shared" ca="1" si="21"/>
        <v>7.7330000000000003E-3</v>
      </c>
      <c r="DC23" s="9">
        <f t="shared" ca="1" si="22"/>
        <v>7.1895999999999991E-3</v>
      </c>
      <c r="DD23" s="9">
        <f t="shared" ca="1" si="23"/>
        <v>1.01574E-2</v>
      </c>
      <c r="DE23" s="9">
        <f t="shared" ca="1" si="24"/>
        <v>9.0705999999999998E-3</v>
      </c>
      <c r="DG23" s="33"/>
      <c r="DH23" s="27"/>
      <c r="DI23" s="27"/>
      <c r="DJ23" s="39">
        <v>1</v>
      </c>
      <c r="DK23" s="27"/>
      <c r="DL23" s="31">
        <f t="shared" ca="1" si="26"/>
        <v>0.10002455317518406</v>
      </c>
      <c r="DM23" s="31">
        <f t="shared" ca="1" si="25"/>
        <v>8.9634521105329476E-2</v>
      </c>
      <c r="DO23" s="54"/>
    </row>
    <row r="24" spans="1:119" x14ac:dyDescent="0.55000000000000004">
      <c r="A24" s="12">
        <v>16</v>
      </c>
      <c r="B24" s="63" t="s">
        <v>84</v>
      </c>
      <c r="C24" s="60">
        <v>0.13200000000000001</v>
      </c>
      <c r="D24" s="60">
        <v>0.224</v>
      </c>
      <c r="F24" s="52">
        <f t="shared" ca="1" si="27"/>
        <v>0.2</v>
      </c>
      <c r="G24" s="52">
        <f t="shared" ca="1" si="27"/>
        <v>0.2</v>
      </c>
      <c r="H24" s="52">
        <f t="shared" ca="1" si="27"/>
        <v>0.2</v>
      </c>
      <c r="I24" s="52">
        <f t="shared" ca="1" si="27"/>
        <v>0.2</v>
      </c>
      <c r="J24" s="52">
        <f t="shared" ca="1" si="27"/>
        <v>0.2</v>
      </c>
      <c r="K24" s="52">
        <f t="shared" ca="1" si="27"/>
        <v>0.3</v>
      </c>
      <c r="L24" s="52">
        <f t="shared" ca="1" si="27"/>
        <v>0.2</v>
      </c>
      <c r="M24" s="52">
        <f t="shared" ca="1" si="27"/>
        <v>0.2</v>
      </c>
      <c r="N24" s="52">
        <f t="shared" ca="1" si="27"/>
        <v>0.3</v>
      </c>
      <c r="O24" s="52">
        <f t="shared" ca="1" si="27"/>
        <v>0.2</v>
      </c>
      <c r="P24" s="52">
        <f t="shared" ca="1" si="27"/>
        <v>0.2</v>
      </c>
      <c r="Q24" s="52">
        <f t="shared" ca="1" si="27"/>
        <v>0.2</v>
      </c>
      <c r="R24" s="52">
        <f t="shared" ca="1" si="27"/>
        <v>0.2</v>
      </c>
      <c r="S24" s="52">
        <f t="shared" ca="1" si="27"/>
        <v>0.2</v>
      </c>
      <c r="T24" s="52">
        <f t="shared" ca="1" si="27"/>
        <v>0.2</v>
      </c>
      <c r="U24" s="50">
        <v>1</v>
      </c>
      <c r="V24" s="51">
        <v>0.2</v>
      </c>
      <c r="W24" s="51">
        <v>0.2</v>
      </c>
      <c r="X24" s="51">
        <v>0.2</v>
      </c>
      <c r="Y24" s="51">
        <v>0.2</v>
      </c>
      <c r="AA24" s="60">
        <v>-0.2</v>
      </c>
      <c r="AB24" s="60">
        <v>0.2</v>
      </c>
      <c r="BR24" s="9">
        <f t="shared" ca="1" si="28"/>
        <v>4.0320000000000002E-2</v>
      </c>
      <c r="BS24" s="9">
        <f t="shared" ca="1" si="28"/>
        <v>4.4800000000000006E-2</v>
      </c>
      <c r="BT24" s="9">
        <f t="shared" ca="1" si="28"/>
        <v>2.6880000000000001E-2</v>
      </c>
      <c r="BU24" s="9">
        <f t="shared" ca="1" si="28"/>
        <v>1.3440000000000001E-2</v>
      </c>
      <c r="BV24" s="9">
        <f t="shared" ca="1" si="28"/>
        <v>4.4800000000000006E-2</v>
      </c>
      <c r="BW24" s="9">
        <f t="shared" ca="1" si="28"/>
        <v>3.8080000000000003E-2</v>
      </c>
      <c r="BX24" s="9">
        <f t="shared" ca="1" si="28"/>
        <v>5.1520000000000003E-2</v>
      </c>
      <c r="BY24" s="9">
        <f t="shared" ca="1" si="28"/>
        <v>4.4800000000000006E-2</v>
      </c>
      <c r="BZ24" s="9">
        <f t="shared" ca="1" si="28"/>
        <v>6.7199999999999996E-2</v>
      </c>
      <c r="CA24" s="9">
        <f t="shared" ca="1" si="28"/>
        <v>4.4800000000000006E-2</v>
      </c>
      <c r="CB24" s="9">
        <f t="shared" ca="1" si="29"/>
        <v>4.2560000000000001E-2</v>
      </c>
      <c r="CC24" s="9">
        <f t="shared" ca="1" si="29"/>
        <v>6.0480000000000006E-2</v>
      </c>
      <c r="CD24" s="9">
        <f t="shared" ca="1" si="29"/>
        <v>4.4800000000000006E-2</v>
      </c>
      <c r="CE24" s="9">
        <f t="shared" ca="1" si="29"/>
        <v>5.824E-2</v>
      </c>
      <c r="CF24" s="9">
        <f t="shared" ca="1" si="29"/>
        <v>4.6815999999999997E-2</v>
      </c>
      <c r="CG24" s="9">
        <f t="shared" ca="1" si="29"/>
        <v>5.0176000000000005E-2</v>
      </c>
      <c r="CH24" s="9">
        <f t="shared" ca="1" si="29"/>
        <v>4.1439999999999998E-2</v>
      </c>
      <c r="CI24" s="9">
        <f t="shared" ca="1" si="29"/>
        <v>3.8528E-2</v>
      </c>
      <c r="CJ24" s="9">
        <f t="shared" ca="1" si="29"/>
        <v>5.4432000000000001E-2</v>
      </c>
      <c r="CK24" s="9">
        <f t="shared" ca="1" si="29"/>
        <v>4.8607999999999998E-2</v>
      </c>
      <c r="CL24" s="9">
        <f t="shared" ca="1" si="5"/>
        <v>8.064E-3</v>
      </c>
      <c r="CM24" s="9">
        <f t="shared" ca="1" si="6"/>
        <v>8.9600000000000009E-3</v>
      </c>
      <c r="CN24" s="9">
        <f t="shared" ca="1" si="7"/>
        <v>5.3760000000000006E-3</v>
      </c>
      <c r="CO24" s="9">
        <f t="shared" ca="1" si="8"/>
        <v>2.6880000000000003E-3</v>
      </c>
      <c r="CP24" s="9">
        <f t="shared" ca="1" si="9"/>
        <v>8.9600000000000009E-3</v>
      </c>
      <c r="CQ24" s="9">
        <f t="shared" ca="1" si="10"/>
        <v>1.1424E-2</v>
      </c>
      <c r="CR24" s="9">
        <f t="shared" ca="1" si="11"/>
        <v>1.0304000000000001E-2</v>
      </c>
      <c r="CS24" s="9">
        <f t="shared" ca="1" si="12"/>
        <v>8.9600000000000009E-3</v>
      </c>
      <c r="CT24" s="9">
        <f t="shared" ca="1" si="13"/>
        <v>2.0159999999999997E-2</v>
      </c>
      <c r="CU24" s="9">
        <f t="shared" ca="1" si="14"/>
        <v>8.9600000000000009E-3</v>
      </c>
      <c r="CV24" s="9">
        <f t="shared" ca="1" si="15"/>
        <v>8.5120000000000005E-3</v>
      </c>
      <c r="CW24" s="9">
        <f t="shared" ca="1" si="16"/>
        <v>1.2096000000000003E-2</v>
      </c>
      <c r="CX24" s="9">
        <f t="shared" ca="1" si="17"/>
        <v>8.9600000000000009E-3</v>
      </c>
      <c r="CY24" s="9">
        <f t="shared" ca="1" si="18"/>
        <v>1.1648E-2</v>
      </c>
      <c r="CZ24" s="9">
        <f t="shared" ca="1" si="19"/>
        <v>9.3632000000000003E-3</v>
      </c>
      <c r="DA24" s="9">
        <f t="shared" ca="1" si="20"/>
        <v>5.0176000000000005E-2</v>
      </c>
      <c r="DB24" s="9">
        <f t="shared" ca="1" si="21"/>
        <v>8.2880000000000002E-3</v>
      </c>
      <c r="DC24" s="9">
        <f t="shared" ca="1" si="22"/>
        <v>7.7055999999999999E-3</v>
      </c>
      <c r="DD24" s="9">
        <f t="shared" ca="1" si="23"/>
        <v>1.0886400000000001E-2</v>
      </c>
      <c r="DE24" s="9">
        <f t="shared" ca="1" si="24"/>
        <v>9.7216000000000004E-3</v>
      </c>
      <c r="DG24" s="33"/>
      <c r="DH24" s="27"/>
      <c r="DI24" s="27"/>
      <c r="DJ24" s="39">
        <v>1</v>
      </c>
      <c r="DK24" s="27"/>
      <c r="DL24" s="31">
        <f t="shared" ca="1" si="26"/>
        <v>0.10667062008217638</v>
      </c>
      <c r="DM24" s="31">
        <f t="shared" ca="1" si="25"/>
        <v>0.10181515183704251</v>
      </c>
      <c r="DO24" s="54"/>
    </row>
    <row r="25" spans="1:119" x14ac:dyDescent="0.55000000000000004">
      <c r="A25" s="12">
        <v>17</v>
      </c>
      <c r="B25" s="63" t="s">
        <v>85</v>
      </c>
      <c r="C25" s="60">
        <v>9.8699999999999996E-2</v>
      </c>
      <c r="D25" s="60">
        <v>0.185</v>
      </c>
      <c r="F25" s="52">
        <f t="shared" ca="1" si="27"/>
        <v>0.2</v>
      </c>
      <c r="G25" s="52">
        <f t="shared" ca="1" si="27"/>
        <v>0.2</v>
      </c>
      <c r="H25" s="52">
        <f t="shared" ca="1" si="27"/>
        <v>0.2</v>
      </c>
      <c r="I25" s="52">
        <f t="shared" ca="1" si="27"/>
        <v>0.2</v>
      </c>
      <c r="J25" s="52">
        <f t="shared" ca="1" si="27"/>
        <v>0.2</v>
      </c>
      <c r="K25" s="52">
        <f t="shared" ca="1" si="27"/>
        <v>0.2</v>
      </c>
      <c r="L25" s="52">
        <f t="shared" ca="1" si="27"/>
        <v>0.2</v>
      </c>
      <c r="M25" s="52">
        <f t="shared" ca="1" si="27"/>
        <v>0.2</v>
      </c>
      <c r="N25" s="52">
        <f t="shared" ca="1" si="27"/>
        <v>0.2</v>
      </c>
      <c r="O25" s="52">
        <f t="shared" ca="1" si="27"/>
        <v>0.2</v>
      </c>
      <c r="P25" s="52">
        <f t="shared" ca="1" si="27"/>
        <v>0.2</v>
      </c>
      <c r="Q25" s="52">
        <f t="shared" ca="1" si="27"/>
        <v>0.2</v>
      </c>
      <c r="R25" s="52">
        <f t="shared" ca="1" si="27"/>
        <v>0.2</v>
      </c>
      <c r="S25" s="52">
        <f t="shared" ca="1" si="27"/>
        <v>0.2</v>
      </c>
      <c r="T25" s="52">
        <f t="shared" ca="1" si="27"/>
        <v>0.2</v>
      </c>
      <c r="U25" s="52">
        <f t="shared" ca="1" si="27"/>
        <v>0.2</v>
      </c>
      <c r="V25" s="50">
        <v>1</v>
      </c>
      <c r="W25" s="51">
        <v>0.2</v>
      </c>
      <c r="X25" s="51">
        <v>0.2</v>
      </c>
      <c r="Y25" s="51">
        <v>0.2</v>
      </c>
      <c r="AA25" s="60">
        <v>-0.2</v>
      </c>
      <c r="AB25" s="60">
        <v>0.2</v>
      </c>
      <c r="BR25" s="9">
        <f t="shared" ca="1" si="28"/>
        <v>3.3299999999999996E-2</v>
      </c>
      <c r="BS25" s="9">
        <f t="shared" ca="1" si="28"/>
        <v>3.6999999999999998E-2</v>
      </c>
      <c r="BT25" s="9">
        <f t="shared" ca="1" si="28"/>
        <v>2.2199999999999998E-2</v>
      </c>
      <c r="BU25" s="9">
        <f t="shared" ca="1" si="28"/>
        <v>1.1099999999999999E-2</v>
      </c>
      <c r="BV25" s="9">
        <f t="shared" ca="1" si="28"/>
        <v>3.6999999999999998E-2</v>
      </c>
      <c r="BW25" s="9">
        <f t="shared" ca="1" si="28"/>
        <v>3.1449999999999999E-2</v>
      </c>
      <c r="BX25" s="9">
        <f t="shared" ca="1" si="28"/>
        <v>4.2550000000000004E-2</v>
      </c>
      <c r="BY25" s="9">
        <f t="shared" ca="1" si="28"/>
        <v>3.6999999999999998E-2</v>
      </c>
      <c r="BZ25" s="9">
        <f t="shared" ca="1" si="28"/>
        <v>5.5500000000000001E-2</v>
      </c>
      <c r="CA25" s="9">
        <f t="shared" ca="1" si="28"/>
        <v>3.6999999999999998E-2</v>
      </c>
      <c r="CB25" s="9">
        <f t="shared" ca="1" si="29"/>
        <v>3.5150000000000001E-2</v>
      </c>
      <c r="CC25" s="9">
        <f t="shared" ca="1" si="29"/>
        <v>4.9950000000000001E-2</v>
      </c>
      <c r="CD25" s="9">
        <f t="shared" ca="1" si="29"/>
        <v>3.6999999999999998E-2</v>
      </c>
      <c r="CE25" s="9">
        <f t="shared" ca="1" si="29"/>
        <v>4.8100000000000004E-2</v>
      </c>
      <c r="CF25" s="9">
        <f t="shared" ca="1" si="29"/>
        <v>3.8664999999999998E-2</v>
      </c>
      <c r="CG25" s="9">
        <f t="shared" ca="1" si="29"/>
        <v>4.1439999999999998E-2</v>
      </c>
      <c r="CH25" s="9">
        <f t="shared" ca="1" si="29"/>
        <v>3.4224999999999998E-2</v>
      </c>
      <c r="CI25" s="9">
        <f t="shared" ca="1" si="29"/>
        <v>3.1819999999999994E-2</v>
      </c>
      <c r="CJ25" s="9">
        <f t="shared" ca="1" si="29"/>
        <v>4.4954999999999995E-2</v>
      </c>
      <c r="CK25" s="9">
        <f t="shared" ca="1" si="29"/>
        <v>4.0145E-2</v>
      </c>
      <c r="CL25" s="9">
        <f t="shared" ca="1" si="5"/>
        <v>6.6599999999999993E-3</v>
      </c>
      <c r="CM25" s="9">
        <f t="shared" ca="1" si="6"/>
        <v>7.4000000000000003E-3</v>
      </c>
      <c r="CN25" s="9">
        <f t="shared" ca="1" si="7"/>
        <v>4.4399999999999995E-3</v>
      </c>
      <c r="CO25" s="9">
        <f t="shared" ca="1" si="8"/>
        <v>2.2199999999999998E-3</v>
      </c>
      <c r="CP25" s="9">
        <f t="shared" ca="1" si="9"/>
        <v>7.4000000000000003E-3</v>
      </c>
      <c r="CQ25" s="9">
        <f t="shared" ca="1" si="10"/>
        <v>6.2900000000000005E-3</v>
      </c>
      <c r="CR25" s="9">
        <f t="shared" ca="1" si="11"/>
        <v>8.5100000000000019E-3</v>
      </c>
      <c r="CS25" s="9">
        <f t="shared" ca="1" si="12"/>
        <v>7.4000000000000003E-3</v>
      </c>
      <c r="CT25" s="9">
        <f t="shared" ca="1" si="13"/>
        <v>1.11E-2</v>
      </c>
      <c r="CU25" s="9">
        <f t="shared" ca="1" si="14"/>
        <v>7.4000000000000003E-3</v>
      </c>
      <c r="CV25" s="9">
        <f t="shared" ca="1" si="15"/>
        <v>7.0300000000000007E-3</v>
      </c>
      <c r="CW25" s="9">
        <f t="shared" ca="1" si="16"/>
        <v>9.9900000000000006E-3</v>
      </c>
      <c r="CX25" s="9">
        <f t="shared" ca="1" si="17"/>
        <v>7.4000000000000003E-3</v>
      </c>
      <c r="CY25" s="9">
        <f t="shared" ca="1" si="18"/>
        <v>9.6200000000000018E-3</v>
      </c>
      <c r="CZ25" s="9">
        <f t="shared" ca="1" si="19"/>
        <v>7.7330000000000003E-3</v>
      </c>
      <c r="DA25" s="9">
        <f t="shared" ca="1" si="20"/>
        <v>8.2880000000000002E-3</v>
      </c>
      <c r="DB25" s="9">
        <f t="shared" ca="1" si="21"/>
        <v>3.4224999999999998E-2</v>
      </c>
      <c r="DC25" s="9">
        <f t="shared" ca="1" si="22"/>
        <v>6.363999999999999E-3</v>
      </c>
      <c r="DD25" s="9">
        <f t="shared" ca="1" si="23"/>
        <v>8.990999999999999E-3</v>
      </c>
      <c r="DE25" s="9">
        <f t="shared" ca="1" si="24"/>
        <v>8.0289999999999997E-3</v>
      </c>
      <c r="DG25" s="33"/>
      <c r="DH25" s="27"/>
      <c r="DI25" s="27"/>
      <c r="DJ25" s="39">
        <v>1</v>
      </c>
      <c r="DK25" s="27"/>
      <c r="DL25" s="31">
        <f t="shared" ca="1" si="26"/>
        <v>0.11331668698916871</v>
      </c>
      <c r="DM25" s="31">
        <f t="shared" ca="1" si="25"/>
        <v>0.11473746906657745</v>
      </c>
      <c r="DO25" s="54"/>
    </row>
    <row r="26" spans="1:119" x14ac:dyDescent="0.55000000000000004">
      <c r="A26" s="12">
        <v>18</v>
      </c>
      <c r="B26" s="63" t="s">
        <v>86</v>
      </c>
      <c r="C26" s="60">
        <v>0.10100000000000001</v>
      </c>
      <c r="D26" s="60">
        <v>0.17199999999999999</v>
      </c>
      <c r="F26" s="52">
        <f t="shared" ca="1" si="27"/>
        <v>0.2</v>
      </c>
      <c r="G26" s="52">
        <f t="shared" ca="1" si="27"/>
        <v>0.2</v>
      </c>
      <c r="H26" s="52">
        <f t="shared" ca="1" si="27"/>
        <v>0.2</v>
      </c>
      <c r="I26" s="52">
        <f t="shared" ca="1" si="27"/>
        <v>0.2</v>
      </c>
      <c r="J26" s="52">
        <f t="shared" ca="1" si="27"/>
        <v>0.2</v>
      </c>
      <c r="K26" s="52">
        <f t="shared" ca="1" si="27"/>
        <v>0.2</v>
      </c>
      <c r="L26" s="52">
        <f t="shared" ca="1" si="27"/>
        <v>0.2</v>
      </c>
      <c r="M26" s="52">
        <f t="shared" ca="1" si="27"/>
        <v>0.2</v>
      </c>
      <c r="N26" s="52">
        <f t="shared" ca="1" si="27"/>
        <v>0.4</v>
      </c>
      <c r="O26" s="52">
        <f t="shared" ca="1" si="27"/>
        <v>0.2</v>
      </c>
      <c r="P26" s="52">
        <f t="shared" ca="1" si="27"/>
        <v>0.2</v>
      </c>
      <c r="Q26" s="52">
        <f t="shared" ca="1" si="27"/>
        <v>0.2</v>
      </c>
      <c r="R26" s="52">
        <f t="shared" ca="1" si="27"/>
        <v>0.2</v>
      </c>
      <c r="S26" s="52">
        <f t="shared" ca="1" si="27"/>
        <v>0.2</v>
      </c>
      <c r="T26" s="52">
        <f t="shared" ca="1" si="27"/>
        <v>0.2</v>
      </c>
      <c r="U26" s="52">
        <f t="shared" ca="1" si="27"/>
        <v>0.2</v>
      </c>
      <c r="V26" s="52">
        <f t="shared" ref="V26:X28" ca="1" si="30">OFFSET(OFFSET($F$9,V$8-1,V$8-1),0,ROW(V26)-ROW(V$8)-V$8)</f>
        <v>0.2</v>
      </c>
      <c r="W26" s="50">
        <v>1</v>
      </c>
      <c r="X26" s="51">
        <v>0.2</v>
      </c>
      <c r="Y26" s="51">
        <v>0.2</v>
      </c>
      <c r="AA26" s="60">
        <v>-0.2</v>
      </c>
      <c r="AB26" s="60">
        <v>0.2</v>
      </c>
      <c r="BR26" s="9">
        <f t="shared" ca="1" si="28"/>
        <v>3.0959999999999998E-2</v>
      </c>
      <c r="BS26" s="9">
        <f t="shared" ca="1" si="28"/>
        <v>3.44E-2</v>
      </c>
      <c r="BT26" s="9">
        <f t="shared" ca="1" si="28"/>
        <v>2.0639999999999999E-2</v>
      </c>
      <c r="BU26" s="9">
        <f t="shared" ca="1" si="28"/>
        <v>1.0319999999999999E-2</v>
      </c>
      <c r="BV26" s="9">
        <f t="shared" ca="1" si="28"/>
        <v>3.44E-2</v>
      </c>
      <c r="BW26" s="9">
        <f t="shared" ca="1" si="28"/>
        <v>2.9239999999999999E-2</v>
      </c>
      <c r="BX26" s="9">
        <f t="shared" ca="1" si="28"/>
        <v>3.9559999999999998E-2</v>
      </c>
      <c r="BY26" s="9">
        <f t="shared" ca="1" si="28"/>
        <v>3.44E-2</v>
      </c>
      <c r="BZ26" s="9">
        <f t="shared" ca="1" si="28"/>
        <v>5.1599999999999993E-2</v>
      </c>
      <c r="CA26" s="9">
        <f t="shared" ca="1" si="28"/>
        <v>3.44E-2</v>
      </c>
      <c r="CB26" s="9">
        <f t="shared" ca="1" si="29"/>
        <v>3.2680000000000001E-2</v>
      </c>
      <c r="CC26" s="9">
        <f t="shared" ca="1" si="29"/>
        <v>4.6440000000000002E-2</v>
      </c>
      <c r="CD26" s="9">
        <f t="shared" ca="1" si="29"/>
        <v>3.44E-2</v>
      </c>
      <c r="CE26" s="9">
        <f t="shared" ca="1" si="29"/>
        <v>4.4719999999999996E-2</v>
      </c>
      <c r="CF26" s="9">
        <f t="shared" ca="1" si="29"/>
        <v>3.5947999999999994E-2</v>
      </c>
      <c r="CG26" s="9">
        <f t="shared" ca="1" si="29"/>
        <v>3.8528E-2</v>
      </c>
      <c r="CH26" s="9">
        <f t="shared" ca="1" si="29"/>
        <v>3.1819999999999994E-2</v>
      </c>
      <c r="CI26" s="9">
        <f t="shared" ca="1" si="29"/>
        <v>2.9583999999999996E-2</v>
      </c>
      <c r="CJ26" s="9">
        <f t="shared" ca="1" si="29"/>
        <v>4.1795999999999993E-2</v>
      </c>
      <c r="CK26" s="9">
        <f t="shared" ca="1" si="29"/>
        <v>3.7323999999999996E-2</v>
      </c>
      <c r="CL26" s="9">
        <f t="shared" ca="1" si="5"/>
        <v>6.1919999999999996E-3</v>
      </c>
      <c r="CM26" s="9">
        <f t="shared" ca="1" si="6"/>
        <v>6.8800000000000007E-3</v>
      </c>
      <c r="CN26" s="9">
        <f t="shared" ca="1" si="7"/>
        <v>4.1279999999999997E-3</v>
      </c>
      <c r="CO26" s="9">
        <f t="shared" ca="1" si="8"/>
        <v>2.0639999999999999E-3</v>
      </c>
      <c r="CP26" s="9">
        <f t="shared" ca="1" si="9"/>
        <v>6.8800000000000007E-3</v>
      </c>
      <c r="CQ26" s="9">
        <f t="shared" ca="1" si="10"/>
        <v>5.8479999999999999E-3</v>
      </c>
      <c r="CR26" s="9">
        <f t="shared" ca="1" si="11"/>
        <v>7.9120000000000006E-3</v>
      </c>
      <c r="CS26" s="9">
        <f t="shared" ca="1" si="12"/>
        <v>6.8800000000000007E-3</v>
      </c>
      <c r="CT26" s="9">
        <f t="shared" ca="1" si="13"/>
        <v>2.0639999999999999E-2</v>
      </c>
      <c r="CU26" s="9">
        <f t="shared" ca="1" si="14"/>
        <v>6.8800000000000007E-3</v>
      </c>
      <c r="CV26" s="9">
        <f t="shared" ca="1" si="15"/>
        <v>6.5360000000000001E-3</v>
      </c>
      <c r="CW26" s="9">
        <f t="shared" ca="1" si="16"/>
        <v>9.2880000000000011E-3</v>
      </c>
      <c r="CX26" s="9">
        <f t="shared" ca="1" si="17"/>
        <v>6.8800000000000007E-3</v>
      </c>
      <c r="CY26" s="9">
        <f t="shared" ca="1" si="18"/>
        <v>8.9439999999999988E-3</v>
      </c>
      <c r="CZ26" s="9">
        <f t="shared" ca="1" si="19"/>
        <v>7.1895999999999991E-3</v>
      </c>
      <c r="DA26" s="9">
        <f t="shared" ca="1" si="20"/>
        <v>7.7055999999999999E-3</v>
      </c>
      <c r="DB26" s="9">
        <f t="shared" ca="1" si="21"/>
        <v>6.363999999999999E-3</v>
      </c>
      <c r="DC26" s="9">
        <f t="shared" ca="1" si="22"/>
        <v>2.9583999999999996E-2</v>
      </c>
      <c r="DD26" s="9">
        <f t="shared" ca="1" si="23"/>
        <v>8.3591999999999989E-3</v>
      </c>
      <c r="DE26" s="9">
        <f t="shared" ca="1" si="24"/>
        <v>7.4647999999999997E-3</v>
      </c>
      <c r="DG26" s="33"/>
      <c r="DH26" s="27"/>
      <c r="DI26" s="27"/>
      <c r="DJ26" s="39">
        <v>1</v>
      </c>
      <c r="DK26" s="27"/>
      <c r="DL26" s="31">
        <f t="shared" ca="1" si="26"/>
        <v>0.11996275389616103</v>
      </c>
      <c r="DM26" s="31">
        <f t="shared" ca="1" si="25"/>
        <v>0.12817734732156516</v>
      </c>
      <c r="DO26" s="54"/>
    </row>
    <row r="27" spans="1:119" x14ac:dyDescent="0.55000000000000004">
      <c r="A27" s="12">
        <v>19</v>
      </c>
      <c r="B27" s="63" t="s">
        <v>87</v>
      </c>
      <c r="C27" s="60">
        <v>0.124</v>
      </c>
      <c r="D27" s="60">
        <v>0.24299999999999999</v>
      </c>
      <c r="F27" s="52">
        <f t="shared" ca="1" si="27"/>
        <v>0.2</v>
      </c>
      <c r="G27" s="52">
        <f t="shared" ca="1" si="27"/>
        <v>0.2</v>
      </c>
      <c r="H27" s="52">
        <f t="shared" ca="1" si="27"/>
        <v>0.2</v>
      </c>
      <c r="I27" s="52">
        <f t="shared" ca="1" si="27"/>
        <v>0.2</v>
      </c>
      <c r="J27" s="52">
        <f t="shared" ca="1" si="27"/>
        <v>0.2</v>
      </c>
      <c r="K27" s="52">
        <f t="shared" ca="1" si="27"/>
        <v>0.2</v>
      </c>
      <c r="L27" s="52">
        <f t="shared" ca="1" si="27"/>
        <v>0.2</v>
      </c>
      <c r="M27" s="52">
        <f t="shared" ca="1" si="27"/>
        <v>0.2</v>
      </c>
      <c r="N27" s="52">
        <f t="shared" ca="1" si="27"/>
        <v>0.2</v>
      </c>
      <c r="O27" s="52">
        <f t="shared" ca="1" si="27"/>
        <v>0.2</v>
      </c>
      <c r="P27" s="52">
        <f t="shared" ca="1" si="27"/>
        <v>0.2</v>
      </c>
      <c r="Q27" s="52">
        <f t="shared" ca="1" si="27"/>
        <v>0.2</v>
      </c>
      <c r="R27" s="52">
        <f t="shared" ca="1" si="27"/>
        <v>0.2</v>
      </c>
      <c r="S27" s="52">
        <f t="shared" ca="1" si="27"/>
        <v>0.2</v>
      </c>
      <c r="T27" s="52">
        <f t="shared" ca="1" si="27"/>
        <v>0.2</v>
      </c>
      <c r="U27" s="52">
        <f t="shared" ca="1" si="27"/>
        <v>0.2</v>
      </c>
      <c r="V27" s="52">
        <f t="shared" ca="1" si="30"/>
        <v>0.2</v>
      </c>
      <c r="W27" s="52">
        <f t="shared" ca="1" si="30"/>
        <v>0.2</v>
      </c>
      <c r="X27" s="50">
        <v>1</v>
      </c>
      <c r="Y27" s="51">
        <v>0.2</v>
      </c>
      <c r="AA27" s="60">
        <v>-0.2</v>
      </c>
      <c r="AB27" s="60">
        <v>0.2</v>
      </c>
      <c r="BR27" s="9">
        <f t="shared" ca="1" si="28"/>
        <v>4.3739999999999994E-2</v>
      </c>
      <c r="BS27" s="9">
        <f t="shared" ca="1" si="28"/>
        <v>4.8600000000000004E-2</v>
      </c>
      <c r="BT27" s="9">
        <f t="shared" ca="1" si="28"/>
        <v>2.9159999999999998E-2</v>
      </c>
      <c r="BU27" s="9">
        <f t="shared" ca="1" si="28"/>
        <v>1.4579999999999999E-2</v>
      </c>
      <c r="BV27" s="9">
        <f t="shared" ca="1" si="28"/>
        <v>4.8600000000000004E-2</v>
      </c>
      <c r="BW27" s="9">
        <f t="shared" ca="1" si="28"/>
        <v>4.1309999999999999E-2</v>
      </c>
      <c r="BX27" s="9">
        <f t="shared" ca="1" si="28"/>
        <v>5.5890000000000002E-2</v>
      </c>
      <c r="BY27" s="9">
        <f t="shared" ca="1" si="28"/>
        <v>4.8600000000000004E-2</v>
      </c>
      <c r="BZ27" s="9">
        <f t="shared" ca="1" si="28"/>
        <v>7.2899999999999993E-2</v>
      </c>
      <c r="CA27" s="9">
        <f t="shared" ca="1" si="28"/>
        <v>4.8600000000000004E-2</v>
      </c>
      <c r="CB27" s="9">
        <f t="shared" ca="1" si="29"/>
        <v>4.6170000000000003E-2</v>
      </c>
      <c r="CC27" s="9">
        <f t="shared" ca="1" si="29"/>
        <v>6.5610000000000002E-2</v>
      </c>
      <c r="CD27" s="9">
        <f t="shared" ca="1" si="29"/>
        <v>4.8600000000000004E-2</v>
      </c>
      <c r="CE27" s="9">
        <f t="shared" ca="1" si="29"/>
        <v>6.318E-2</v>
      </c>
      <c r="CF27" s="9">
        <f t="shared" ca="1" si="29"/>
        <v>5.0786999999999999E-2</v>
      </c>
      <c r="CG27" s="9">
        <f t="shared" ca="1" si="29"/>
        <v>5.4432000000000001E-2</v>
      </c>
      <c r="CH27" s="9">
        <f t="shared" ca="1" si="29"/>
        <v>4.4954999999999995E-2</v>
      </c>
      <c r="CI27" s="9">
        <f t="shared" ca="1" si="29"/>
        <v>4.1795999999999993E-2</v>
      </c>
      <c r="CJ27" s="9">
        <f t="shared" ca="1" si="29"/>
        <v>5.9048999999999997E-2</v>
      </c>
      <c r="CK27" s="9">
        <f t="shared" ca="1" si="29"/>
        <v>5.2731E-2</v>
      </c>
      <c r="CL27" s="9">
        <f t="shared" ca="1" si="5"/>
        <v>8.7479999999999988E-3</v>
      </c>
      <c r="CM27" s="9">
        <f t="shared" ca="1" si="6"/>
        <v>9.7200000000000012E-3</v>
      </c>
      <c r="CN27" s="9">
        <f t="shared" ca="1" si="7"/>
        <v>5.8320000000000004E-3</v>
      </c>
      <c r="CO27" s="9">
        <f t="shared" ca="1" si="8"/>
        <v>2.9160000000000002E-3</v>
      </c>
      <c r="CP27" s="9">
        <f t="shared" ca="1" si="9"/>
        <v>9.7200000000000012E-3</v>
      </c>
      <c r="CQ27" s="9">
        <f t="shared" ca="1" si="10"/>
        <v>8.2620000000000002E-3</v>
      </c>
      <c r="CR27" s="9">
        <f t="shared" ca="1" si="11"/>
        <v>1.1178E-2</v>
      </c>
      <c r="CS27" s="9">
        <f t="shared" ca="1" si="12"/>
        <v>9.7200000000000012E-3</v>
      </c>
      <c r="CT27" s="9">
        <f t="shared" ca="1" si="13"/>
        <v>1.4579999999999999E-2</v>
      </c>
      <c r="CU27" s="9">
        <f t="shared" ca="1" si="14"/>
        <v>9.7200000000000012E-3</v>
      </c>
      <c r="CV27" s="9">
        <f t="shared" ca="1" si="15"/>
        <v>9.2340000000000009E-3</v>
      </c>
      <c r="CW27" s="9">
        <f t="shared" ca="1" si="16"/>
        <v>1.3122000000000002E-2</v>
      </c>
      <c r="CX27" s="9">
        <f t="shared" ca="1" si="17"/>
        <v>9.7200000000000012E-3</v>
      </c>
      <c r="CY27" s="9">
        <f t="shared" ca="1" si="18"/>
        <v>1.2636000000000001E-2</v>
      </c>
      <c r="CZ27" s="9">
        <f t="shared" ca="1" si="19"/>
        <v>1.01574E-2</v>
      </c>
      <c r="DA27" s="9">
        <f t="shared" ca="1" si="20"/>
        <v>1.0886400000000001E-2</v>
      </c>
      <c r="DB27" s="9">
        <f t="shared" ca="1" si="21"/>
        <v>8.990999999999999E-3</v>
      </c>
      <c r="DC27" s="9">
        <f t="shared" ca="1" si="22"/>
        <v>8.3591999999999989E-3</v>
      </c>
      <c r="DD27" s="9">
        <f t="shared" ca="1" si="23"/>
        <v>5.9048999999999997E-2</v>
      </c>
      <c r="DE27" s="9">
        <f t="shared" ca="1" si="24"/>
        <v>1.05462E-2</v>
      </c>
      <c r="DG27" s="33"/>
      <c r="DH27" s="27"/>
      <c r="DI27" s="27"/>
      <c r="DJ27" s="39">
        <v>1</v>
      </c>
      <c r="DK27" s="27"/>
      <c r="DL27" s="31">
        <f t="shared" ca="1" si="26"/>
        <v>0.12660882080315333</v>
      </c>
      <c r="DM27" s="31">
        <f t="shared" ca="1" si="25"/>
        <v>0.14198789321406238</v>
      </c>
      <c r="DO27" s="54"/>
    </row>
    <row r="28" spans="1:119" x14ac:dyDescent="0.55000000000000004">
      <c r="A28" s="12">
        <v>20</v>
      </c>
      <c r="B28" s="63" t="s">
        <v>88</v>
      </c>
      <c r="C28" s="60">
        <v>0.10299999999999999</v>
      </c>
      <c r="D28" s="60">
        <v>0.217</v>
      </c>
      <c r="F28" s="52">
        <f t="shared" ca="1" si="27"/>
        <v>0.2</v>
      </c>
      <c r="G28" s="52">
        <f t="shared" ca="1" si="27"/>
        <v>0.2</v>
      </c>
      <c r="H28" s="52">
        <f t="shared" ca="1" si="27"/>
        <v>0.2</v>
      </c>
      <c r="I28" s="52">
        <f t="shared" ca="1" si="27"/>
        <v>0.2</v>
      </c>
      <c r="J28" s="52">
        <f t="shared" ca="1" si="27"/>
        <v>0.2</v>
      </c>
      <c r="K28" s="52">
        <f t="shared" ca="1" si="27"/>
        <v>0.2</v>
      </c>
      <c r="L28" s="52">
        <f t="shared" ca="1" si="27"/>
        <v>0.2</v>
      </c>
      <c r="M28" s="52">
        <f t="shared" ca="1" si="27"/>
        <v>0.2</v>
      </c>
      <c r="N28" s="52">
        <f t="shared" ca="1" si="27"/>
        <v>0.2</v>
      </c>
      <c r="O28" s="52">
        <f t="shared" ca="1" si="27"/>
        <v>0.2</v>
      </c>
      <c r="P28" s="52">
        <f t="shared" ca="1" si="27"/>
        <v>0.2</v>
      </c>
      <c r="Q28" s="52">
        <f t="shared" ca="1" si="27"/>
        <v>0.2</v>
      </c>
      <c r="R28" s="52">
        <f t="shared" ca="1" si="27"/>
        <v>0.2</v>
      </c>
      <c r="S28" s="52">
        <f t="shared" ca="1" si="27"/>
        <v>0.2</v>
      </c>
      <c r="T28" s="52">
        <f t="shared" ca="1" si="27"/>
        <v>0.2</v>
      </c>
      <c r="U28" s="52">
        <f t="shared" ca="1" si="27"/>
        <v>0.2</v>
      </c>
      <c r="V28" s="52">
        <f t="shared" ca="1" si="30"/>
        <v>0.2</v>
      </c>
      <c r="W28" s="52">
        <f t="shared" ca="1" si="30"/>
        <v>0.2</v>
      </c>
      <c r="X28" s="52">
        <f t="shared" ca="1" si="30"/>
        <v>0.2</v>
      </c>
      <c r="Y28" s="50">
        <v>1</v>
      </c>
      <c r="AA28" s="60">
        <v>-0.2</v>
      </c>
      <c r="AB28" s="60">
        <v>0.2</v>
      </c>
      <c r="BR28" s="9">
        <f t="shared" ca="1" si="28"/>
        <v>3.9059999999999997E-2</v>
      </c>
      <c r="BS28" s="9">
        <f t="shared" ca="1" si="28"/>
        <v>4.3400000000000001E-2</v>
      </c>
      <c r="BT28" s="9">
        <f t="shared" ca="1" si="28"/>
        <v>2.6039999999999997E-2</v>
      </c>
      <c r="BU28" s="9">
        <f t="shared" ca="1" si="28"/>
        <v>1.3019999999999999E-2</v>
      </c>
      <c r="BV28" s="9">
        <f t="shared" ca="1" si="28"/>
        <v>4.3400000000000001E-2</v>
      </c>
      <c r="BW28" s="9">
        <f t="shared" ca="1" si="28"/>
        <v>3.6889999999999999E-2</v>
      </c>
      <c r="BX28" s="9">
        <f t="shared" ca="1" si="28"/>
        <v>4.9910000000000003E-2</v>
      </c>
      <c r="BY28" s="9">
        <f t="shared" ca="1" si="28"/>
        <v>4.3400000000000001E-2</v>
      </c>
      <c r="BZ28" s="9">
        <f t="shared" ca="1" si="28"/>
        <v>6.5099999999999991E-2</v>
      </c>
      <c r="CA28" s="9">
        <f t="shared" ca="1" si="28"/>
        <v>4.3400000000000001E-2</v>
      </c>
      <c r="CB28" s="9">
        <f t="shared" ca="1" si="29"/>
        <v>4.1230000000000003E-2</v>
      </c>
      <c r="CC28" s="9">
        <f t="shared" ca="1" si="29"/>
        <v>5.8590000000000003E-2</v>
      </c>
      <c r="CD28" s="9">
        <f t="shared" ca="1" si="29"/>
        <v>4.3400000000000001E-2</v>
      </c>
      <c r="CE28" s="9">
        <f t="shared" ca="1" si="29"/>
        <v>5.6420000000000005E-2</v>
      </c>
      <c r="CF28" s="9">
        <f t="shared" ca="1" si="29"/>
        <v>4.5352999999999997E-2</v>
      </c>
      <c r="CG28" s="9">
        <f t="shared" ca="1" si="29"/>
        <v>4.8607999999999998E-2</v>
      </c>
      <c r="CH28" s="9">
        <f t="shared" ca="1" si="29"/>
        <v>4.0145E-2</v>
      </c>
      <c r="CI28" s="9">
        <f t="shared" ca="1" si="29"/>
        <v>3.7323999999999996E-2</v>
      </c>
      <c r="CJ28" s="9">
        <f t="shared" ca="1" si="29"/>
        <v>5.2731E-2</v>
      </c>
      <c r="CK28" s="9">
        <f t="shared" ca="1" si="29"/>
        <v>4.7088999999999999E-2</v>
      </c>
      <c r="CL28" s="9">
        <f t="shared" ca="1" si="5"/>
        <v>7.8119999999999995E-3</v>
      </c>
      <c r="CM28" s="9">
        <f t="shared" ca="1" si="6"/>
        <v>8.6800000000000002E-3</v>
      </c>
      <c r="CN28" s="9">
        <f t="shared" ca="1" si="7"/>
        <v>5.208E-3</v>
      </c>
      <c r="CO28" s="9">
        <f t="shared" ca="1" si="8"/>
        <v>2.604E-3</v>
      </c>
      <c r="CP28" s="9">
        <f t="shared" ca="1" si="9"/>
        <v>8.6800000000000002E-3</v>
      </c>
      <c r="CQ28" s="9">
        <f t="shared" ca="1" si="10"/>
        <v>7.378E-3</v>
      </c>
      <c r="CR28" s="9">
        <f t="shared" ca="1" si="11"/>
        <v>9.9820000000000013E-3</v>
      </c>
      <c r="CS28" s="9">
        <f t="shared" ca="1" si="12"/>
        <v>8.6800000000000002E-3</v>
      </c>
      <c r="CT28" s="9">
        <f t="shared" ca="1" si="13"/>
        <v>1.3019999999999999E-2</v>
      </c>
      <c r="CU28" s="9">
        <f t="shared" ca="1" si="14"/>
        <v>8.6800000000000002E-3</v>
      </c>
      <c r="CV28" s="9">
        <f t="shared" ca="1" si="15"/>
        <v>8.2460000000000016E-3</v>
      </c>
      <c r="CW28" s="9">
        <f t="shared" ca="1" si="16"/>
        <v>1.1718000000000001E-2</v>
      </c>
      <c r="CX28" s="9">
        <f t="shared" ca="1" si="17"/>
        <v>8.6800000000000002E-3</v>
      </c>
      <c r="CY28" s="9">
        <f t="shared" ca="1" si="18"/>
        <v>1.1284000000000002E-2</v>
      </c>
      <c r="CZ28" s="9">
        <f t="shared" ca="1" si="19"/>
        <v>9.0705999999999998E-3</v>
      </c>
      <c r="DA28" s="9">
        <f t="shared" ca="1" si="20"/>
        <v>9.7216000000000004E-3</v>
      </c>
      <c r="DB28" s="9">
        <f t="shared" ca="1" si="21"/>
        <v>8.0289999999999997E-3</v>
      </c>
      <c r="DC28" s="9">
        <f t="shared" ca="1" si="22"/>
        <v>7.4647999999999997E-3</v>
      </c>
      <c r="DD28" s="9">
        <f t="shared" ca="1" si="23"/>
        <v>1.05462E-2</v>
      </c>
      <c r="DE28" s="9">
        <f t="shared" ca="1" si="24"/>
        <v>4.7088999999999999E-2</v>
      </c>
      <c r="DG28" s="34"/>
      <c r="DH28" s="35"/>
      <c r="DI28" s="35"/>
      <c r="DJ28" s="39">
        <v>1</v>
      </c>
      <c r="DK28" s="35"/>
      <c r="DL28" s="31">
        <f t="shared" ca="1" si="26"/>
        <v>0.13325488771014565</v>
      </c>
      <c r="DM28" s="31">
        <f t="shared" ca="1" si="25"/>
        <v>0.1560707377016215</v>
      </c>
      <c r="DO28" s="54"/>
    </row>
  </sheetData>
  <mergeCells count="11">
    <mergeCell ref="DL7:DM7"/>
    <mergeCell ref="DF1:DF2"/>
    <mergeCell ref="F2:K2"/>
    <mergeCell ref="F7:Y7"/>
    <mergeCell ref="BR7:CK7"/>
    <mergeCell ref="CL7:DE7"/>
    <mergeCell ref="AA7:AB7"/>
    <mergeCell ref="DG1:DM1"/>
    <mergeCell ref="F1:Q1"/>
    <mergeCell ref="AA4:AB4"/>
    <mergeCell ref="AA5:AB5"/>
  </mergeCells>
  <conditionalFormatting sqref="DF1:DF4">
    <cfRule type="expression" dxfId="17" priority="107">
      <formula>DF1="Error"</formula>
    </cfRule>
  </conditionalFormatting>
  <conditionalFormatting sqref="D9:D28 AA9:AB28">
    <cfRule type="expression" dxfId="16" priority="102">
      <formula>$A9&gt;$B$2</formula>
    </cfRule>
  </conditionalFormatting>
  <conditionalFormatting sqref="C9:C28">
    <cfRule type="expression" dxfId="15" priority="31">
      <formula>$A9&gt;$B$2</formula>
    </cfRule>
  </conditionalFormatting>
  <conditionalFormatting sqref="DJ9:DJ28">
    <cfRule type="expression" dxfId="14" priority="7">
      <formula>A9&gt;$B$2</formula>
    </cfRule>
  </conditionalFormatting>
  <conditionalFormatting sqref="BR9:DE28">
    <cfRule type="expression" dxfId="13" priority="5">
      <formula>OR($A9&gt;$B$2,BR$8&gt;$B$2)</formula>
    </cfRule>
  </conditionalFormatting>
  <conditionalFormatting sqref="F9:Y28">
    <cfRule type="expression" dxfId="12" priority="3">
      <formula>OR(F$8&gt;NStocks,$A9&gt;NStocks)</formula>
    </cfRule>
  </conditionalFormatting>
  <conditionalFormatting sqref="B9:B28">
    <cfRule type="expression" dxfId="11" priority="2">
      <formula>$A9&gt;$B$2</formula>
    </cfRule>
  </conditionalFormatting>
  <conditionalFormatting sqref="AA7:AB28">
    <cfRule type="expression" dxfId="10" priority="1">
      <formula>$AA$5="No"</formula>
    </cfRule>
  </conditionalFormatting>
  <dataValidations count="7">
    <dataValidation type="decimal" allowBlank="1" showInputMessage="1" showErrorMessage="1" error="Please enter a value between 0% and 10%." sqref="B4">
      <formula1>0</formula1>
      <formula2>0.1</formula2>
    </dataValidation>
    <dataValidation type="decimal" allowBlank="1" showInputMessage="1" showErrorMessage="1" error="Please enter a value between -1 and +1." sqref="H10:Y10 I11:Y11 J12:Y12 K13:Y13 L14:Y14 M15:Y15 N16:Y16 O17:Y17 P18:Y18 Q19:Y19 R20:Y20 S21:Y21 T22:Y22 U23:Y23 V24:Y24 W25:Y25 X26:Y26 Y27 B5 G9:Y9">
      <formula1>-1</formula1>
      <formula2>1</formula2>
    </dataValidation>
    <dataValidation type="decimal" allowBlank="1" showInputMessage="1" showErrorMessage="1" error="Please enter a value between 0 and 50%." sqref="D9:D28">
      <formula1>0</formula1>
      <formula2>0.5</formula2>
    </dataValidation>
    <dataValidation type="decimal" allowBlank="1" showInputMessage="1" showErrorMessage="1" error="Please enter a value between -20% and 30%." sqref="C9:C28">
      <formula1>-0.2</formula1>
      <formula2>0.3</formula2>
    </dataValidation>
    <dataValidation type="decimal" allowBlank="1" showInputMessage="1" showErrorMessage="1" error="Please enter a value between -2 and 6." sqref="B3">
      <formula1>-2</formula1>
      <formula2>6</formula2>
    </dataValidation>
    <dataValidation type="whole" allowBlank="1" showInputMessage="1" showErrorMessage="1" error="Please enter a value between 3 and 20." sqref="B2">
      <formula1>3</formula1>
      <formula2>20</formula2>
    </dataValidation>
    <dataValidation type="list" allowBlank="1" showInputMessage="1" showErrorMessage="1" sqref="AA5:AB5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ResetCorr">
                <anchor moveWithCells="1" sizeWithCells="1">
                  <from>
                    <xdr:col>13</xdr:col>
                    <xdr:colOff>297180</xdr:colOff>
                    <xdr:row>2</xdr:row>
                    <xdr:rowOff>182880</xdr:rowOff>
                  </from>
                  <to>
                    <xdr:col>17</xdr:col>
                    <xdr:colOff>68580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H55"/>
  <sheetViews>
    <sheetView showGridLines="0" zoomScaleNormal="100" workbookViewId="0">
      <selection activeCell="W19" sqref="W19"/>
    </sheetView>
  </sheetViews>
  <sheetFormatPr defaultColWidth="9.1640625" defaultRowHeight="14.4" x14ac:dyDescent="0.55000000000000004"/>
  <cols>
    <col min="1" max="4" width="9.1640625" style="4"/>
    <col min="5" max="5" width="9.1640625" style="4" customWidth="1"/>
    <col min="6" max="6" width="9.1640625" style="4"/>
    <col min="7" max="8" width="9.1640625" style="4" customWidth="1"/>
    <col min="9" max="9" width="9.1640625" style="4"/>
    <col min="10" max="10" width="9.1640625" style="4" customWidth="1"/>
    <col min="11" max="20" width="9.1640625" style="4"/>
    <col min="21" max="23" width="9.1640625" style="4" customWidth="1"/>
    <col min="24" max="31" width="9.1640625" style="4"/>
    <col min="32" max="34" width="9.1640625" style="4" customWidth="1"/>
    <col min="35" max="16384" width="9.1640625" style="4"/>
  </cols>
  <sheetData>
    <row r="1" spans="1:34" x14ac:dyDescent="0.55000000000000004">
      <c r="A1" s="24" t="s">
        <v>15</v>
      </c>
      <c r="B1" s="25"/>
      <c r="C1" s="25"/>
      <c r="D1" s="25"/>
      <c r="E1" s="25"/>
      <c r="F1" s="25"/>
      <c r="G1" s="25"/>
      <c r="H1" s="25"/>
      <c r="I1" s="25"/>
    </row>
    <row r="2" spans="1:34" ht="15" customHeight="1" x14ac:dyDescent="0.55000000000000004">
      <c r="A2" s="75" t="s">
        <v>14</v>
      </c>
      <c r="B2" s="76"/>
      <c r="C2" s="76"/>
      <c r="D2" s="76"/>
      <c r="E2" s="76"/>
      <c r="F2" s="77"/>
      <c r="G2" s="16"/>
    </row>
    <row r="7" spans="1:34" ht="15" customHeight="1" x14ac:dyDescent="0.55000000000000004">
      <c r="A7" s="89" t="s">
        <v>90</v>
      </c>
      <c r="B7" s="89"/>
      <c r="C7" s="89"/>
      <c r="E7" s="89" t="s">
        <v>91</v>
      </c>
      <c r="F7" s="89"/>
      <c r="G7" s="89"/>
      <c r="I7" s="89" t="s">
        <v>92</v>
      </c>
      <c r="J7" s="89"/>
      <c r="K7" s="89"/>
      <c r="M7" s="90" t="s">
        <v>93</v>
      </c>
      <c r="N7" s="90"/>
      <c r="O7" s="90"/>
      <c r="Q7" s="90" t="s">
        <v>94</v>
      </c>
      <c r="R7" s="90"/>
      <c r="S7" s="90"/>
      <c r="U7" s="89" t="s">
        <v>95</v>
      </c>
      <c r="V7" s="89"/>
      <c r="W7" s="89"/>
    </row>
    <row r="8" spans="1:34" x14ac:dyDescent="0.55000000000000004">
      <c r="A8" s="89"/>
      <c r="B8" s="89"/>
      <c r="C8" s="89"/>
      <c r="E8" s="89"/>
      <c r="F8" s="89"/>
      <c r="G8" s="89"/>
      <c r="I8" s="89"/>
      <c r="J8" s="89"/>
      <c r="K8" s="89"/>
      <c r="M8" s="90"/>
      <c r="N8" s="90"/>
      <c r="O8" s="90"/>
      <c r="Q8" s="90"/>
      <c r="R8" s="90"/>
      <c r="S8" s="90"/>
      <c r="U8" s="89"/>
      <c r="V8" s="89"/>
      <c r="W8" s="89"/>
    </row>
    <row r="9" spans="1:34" x14ac:dyDescent="0.55000000000000004">
      <c r="B9" s="55"/>
      <c r="F9" s="55"/>
    </row>
    <row r="11" spans="1:34" ht="15" customHeight="1" x14ac:dyDescent="0.55000000000000004">
      <c r="N11" s="96" t="s">
        <v>3</v>
      </c>
      <c r="O11" s="97"/>
      <c r="R11" s="90" t="s">
        <v>1</v>
      </c>
      <c r="S11" s="90"/>
    </row>
    <row r="12" spans="1:34" x14ac:dyDescent="0.55000000000000004">
      <c r="N12" s="18" t="s">
        <v>5</v>
      </c>
      <c r="O12" s="18" t="s">
        <v>6</v>
      </c>
      <c r="R12" s="18" t="s">
        <v>5</v>
      </c>
      <c r="S12" s="18" t="s">
        <v>6</v>
      </c>
    </row>
    <row r="13" spans="1:34" x14ac:dyDescent="0.55000000000000004">
      <c r="N13" s="65">
        <v>0.1</v>
      </c>
      <c r="O13" s="65">
        <v>0.2</v>
      </c>
      <c r="P13" s="22" t="str">
        <f>IF(ER_P2_Max&lt;ER_P2_Min,"Error","")</f>
        <v/>
      </c>
      <c r="R13" s="65">
        <v>0.06</v>
      </c>
      <c r="S13" s="65">
        <v>0.1</v>
      </c>
      <c r="T13" s="22" t="str">
        <f>IF(sigma_P3_Max&lt;sigma_P3_Min,"Error","")</f>
        <v/>
      </c>
    </row>
    <row r="14" spans="1:34" x14ac:dyDescent="0.55000000000000004">
      <c r="AF14" s="66">
        <f>ROW(StocksTitle)</f>
        <v>15</v>
      </c>
      <c r="AG14" s="66" t="str">
        <f ca="1">MID(CELL("address",AG15),2,FIND("$",CELL("address",AG15),2)-2)</f>
        <v>AG</v>
      </c>
      <c r="AH14" s="66" t="str">
        <f ca="1">MID(CELL("address",AH15),2,FIND("$",CELL("address",AH15),2)-2)</f>
        <v>AH</v>
      </c>
    </row>
    <row r="15" spans="1:34" x14ac:dyDescent="0.55000000000000004">
      <c r="A15" s="45" t="s">
        <v>7</v>
      </c>
      <c r="B15" s="61" t="s">
        <v>73</v>
      </c>
      <c r="C15" s="6" t="s">
        <v>4</v>
      </c>
      <c r="E15" s="46" t="s">
        <v>7</v>
      </c>
      <c r="F15" s="61" t="s">
        <v>73</v>
      </c>
      <c r="G15" s="6" t="s">
        <v>4</v>
      </c>
      <c r="I15" s="45" t="s">
        <v>7</v>
      </c>
      <c r="J15" s="61" t="s">
        <v>73</v>
      </c>
      <c r="K15" s="6" t="s">
        <v>4</v>
      </c>
      <c r="M15" s="45" t="s">
        <v>7</v>
      </c>
      <c r="N15" s="61" t="s">
        <v>73</v>
      </c>
      <c r="O15" s="6" t="s">
        <v>4</v>
      </c>
      <c r="Q15" s="45" t="s">
        <v>7</v>
      </c>
      <c r="R15" s="61" t="s">
        <v>73</v>
      </c>
      <c r="S15" s="6" t="s">
        <v>4</v>
      </c>
      <c r="U15" s="45" t="s">
        <v>7</v>
      </c>
      <c r="V15" s="61" t="s">
        <v>73</v>
      </c>
      <c r="W15" s="6" t="s">
        <v>4</v>
      </c>
      <c r="AF15" s="62" t="s">
        <v>7</v>
      </c>
      <c r="AG15" s="6" t="s">
        <v>98</v>
      </c>
      <c r="AH15" s="6" t="s">
        <v>99</v>
      </c>
    </row>
    <row r="16" spans="1:34" x14ac:dyDescent="0.55000000000000004">
      <c r="A16" s="23">
        <v>1</v>
      </c>
      <c r="B16" s="64" t="str">
        <f>Data!$B9</f>
        <v>IBM</v>
      </c>
      <c r="C16" s="3">
        <v>1.5298718391932239E-2</v>
      </c>
      <c r="E16" s="47">
        <v>1</v>
      </c>
      <c r="F16" s="64" t="str">
        <f>Data!$B9</f>
        <v>IBM</v>
      </c>
      <c r="G16" s="3">
        <v>1.5298718391932239E-2</v>
      </c>
      <c r="I16" s="12">
        <v>1</v>
      </c>
      <c r="J16" s="64" t="str">
        <f>Data!$B9</f>
        <v>IBM</v>
      </c>
      <c r="K16" s="3">
        <v>0.11467037202866065</v>
      </c>
      <c r="M16" s="8">
        <v>1</v>
      </c>
      <c r="N16" s="64" t="str">
        <f>Data!$B9</f>
        <v>IBM</v>
      </c>
      <c r="O16" s="3">
        <v>6.2315723924646502E-2</v>
      </c>
      <c r="Q16" s="12">
        <v>1</v>
      </c>
      <c r="R16" s="64" t="str">
        <f>Data!$B9</f>
        <v>IBM</v>
      </c>
      <c r="S16" s="3">
        <v>0.1076235441761729</v>
      </c>
      <c r="U16" s="12">
        <v>1</v>
      </c>
      <c r="V16" s="64" t="str">
        <f>Data!$B9</f>
        <v>IBM</v>
      </c>
      <c r="W16" s="3">
        <v>3.4984632102915615E-2</v>
      </c>
      <c r="AF16" s="67">
        <v>1</v>
      </c>
      <c r="AG16" s="10">
        <f>Data!AA9</f>
        <v>-0.2</v>
      </c>
      <c r="AH16" s="10">
        <f>Data!AB9</f>
        <v>0.2</v>
      </c>
    </row>
    <row r="17" spans="1:34" x14ac:dyDescent="0.55000000000000004">
      <c r="A17" s="23">
        <v>2</v>
      </c>
      <c r="B17" s="64" t="str">
        <f>Data!$B10</f>
        <v>MSFT</v>
      </c>
      <c r="C17" s="3">
        <v>1.4954949699569179E-3</v>
      </c>
      <c r="E17" s="47">
        <v>2</v>
      </c>
      <c r="F17" s="64" t="str">
        <f>Data!$B10</f>
        <v>MSFT</v>
      </c>
      <c r="G17" s="3">
        <v>1.4954949699569179E-3</v>
      </c>
      <c r="I17" s="12">
        <v>2</v>
      </c>
      <c r="J17" s="64" t="str">
        <f>Data!$B10</f>
        <v>MSFT</v>
      </c>
      <c r="K17" s="3">
        <v>0.16515483282016627</v>
      </c>
      <c r="M17" s="8">
        <v>2</v>
      </c>
      <c r="N17" s="64" t="str">
        <f>Data!$B10</f>
        <v>MSFT</v>
      </c>
      <c r="O17" s="3">
        <v>7.8958333182595056E-2</v>
      </c>
      <c r="Q17" s="12">
        <v>2</v>
      </c>
      <c r="R17" s="64" t="str">
        <f>Data!$B10</f>
        <v>MSFT</v>
      </c>
      <c r="S17" s="3">
        <v>9.3049625663072941E-2</v>
      </c>
      <c r="U17" s="12">
        <v>2</v>
      </c>
      <c r="V17" s="64" t="str">
        <f>Data!$B10</f>
        <v>MSFT</v>
      </c>
      <c r="W17" s="3">
        <v>3.3942218626043061E-2</v>
      </c>
      <c r="AF17" s="67">
        <v>2</v>
      </c>
      <c r="AG17" s="10">
        <f>Data!AA10</f>
        <v>-0.2</v>
      </c>
      <c r="AH17" s="10">
        <f>Data!AB10</f>
        <v>0.2</v>
      </c>
    </row>
    <row r="18" spans="1:34" x14ac:dyDescent="0.55000000000000004">
      <c r="A18" s="23">
        <v>3</v>
      </c>
      <c r="B18" s="64" t="str">
        <f>Data!$B11</f>
        <v>PFE</v>
      </c>
      <c r="C18" s="3">
        <v>0.12516781118263848</v>
      </c>
      <c r="E18" s="47">
        <v>3</v>
      </c>
      <c r="F18" s="64" t="str">
        <f>Data!$B11</f>
        <v>PFE</v>
      </c>
      <c r="G18" s="3">
        <v>0.12516781118263848</v>
      </c>
      <c r="I18" s="12">
        <v>3</v>
      </c>
      <c r="J18" s="64" t="str">
        <f>Data!$B11</f>
        <v>PFE</v>
      </c>
      <c r="K18" s="3">
        <v>-3.5613017986702168E-2</v>
      </c>
      <c r="M18" s="8">
        <v>3</v>
      </c>
      <c r="N18" s="64" t="str">
        <f>Data!$B11</f>
        <v>PFE</v>
      </c>
      <c r="O18" s="3">
        <v>4.9068426524108907E-2</v>
      </c>
      <c r="Q18" s="12">
        <v>3</v>
      </c>
      <c r="R18" s="64" t="str">
        <f>Data!$B11</f>
        <v>PFE</v>
      </c>
      <c r="S18" s="3">
        <v>0.2</v>
      </c>
      <c r="U18" s="12">
        <v>3</v>
      </c>
      <c r="V18" s="64" t="str">
        <f>Data!$B11</f>
        <v>PFE</v>
      </c>
      <c r="W18" s="3">
        <v>9.3276417445458684E-2</v>
      </c>
      <c r="AF18" s="67">
        <v>3</v>
      </c>
      <c r="AG18" s="10">
        <f>Data!AA11</f>
        <v>-0.2</v>
      </c>
      <c r="AH18" s="10">
        <f>Data!AB11</f>
        <v>0.2</v>
      </c>
    </row>
    <row r="19" spans="1:34" x14ac:dyDescent="0.55000000000000004">
      <c r="A19" s="23">
        <v>4</v>
      </c>
      <c r="B19" s="64" t="str">
        <f>Data!$B12</f>
        <v>LUV</v>
      </c>
      <c r="C19" s="3">
        <v>0.86361328235497781</v>
      </c>
      <c r="E19" s="47">
        <v>4</v>
      </c>
      <c r="F19" s="64" t="str">
        <f>Data!$B12</f>
        <v>LUV</v>
      </c>
      <c r="G19" s="3">
        <v>0.86361328235497781</v>
      </c>
      <c r="I19" s="12">
        <v>4</v>
      </c>
      <c r="J19" s="64" t="str">
        <f>Data!$B12</f>
        <v>LUV</v>
      </c>
      <c r="K19" s="3">
        <v>-8.237095464022115E-2</v>
      </c>
      <c r="M19" s="8">
        <v>4</v>
      </c>
      <c r="N19" s="64" t="str">
        <f>Data!$B12</f>
        <v>LUV</v>
      </c>
      <c r="O19" s="3">
        <v>0.41588492704095181</v>
      </c>
      <c r="Q19" s="12">
        <v>4</v>
      </c>
      <c r="R19" s="64" t="str">
        <f>Data!$B12</f>
        <v>LUV</v>
      </c>
      <c r="S19" s="3">
        <v>0.2</v>
      </c>
      <c r="U19" s="12">
        <v>4</v>
      </c>
      <c r="V19" s="64" t="str">
        <f>Data!$B12</f>
        <v>LUV</v>
      </c>
      <c r="W19" s="3">
        <v>0.67610512358964214</v>
      </c>
      <c r="AF19" s="67">
        <v>4</v>
      </c>
      <c r="AG19" s="10">
        <f>Data!AA12</f>
        <v>-0.2</v>
      </c>
      <c r="AH19" s="10">
        <f>Data!AB12</f>
        <v>0.2</v>
      </c>
    </row>
    <row r="20" spans="1:34" x14ac:dyDescent="0.55000000000000004">
      <c r="A20" s="23">
        <v>5</v>
      </c>
      <c r="B20" s="64" t="str">
        <f>Data!$B13</f>
        <v>KO</v>
      </c>
      <c r="C20" s="3">
        <v>1.4954949699569774E-3</v>
      </c>
      <c r="E20" s="47">
        <v>5</v>
      </c>
      <c r="F20" s="64" t="str">
        <f>Data!$B13</f>
        <v>KO</v>
      </c>
      <c r="G20" s="3">
        <v>1.4954949699569774E-3</v>
      </c>
      <c r="I20" s="12">
        <v>5</v>
      </c>
      <c r="J20" s="64" t="str">
        <f>Data!$B13</f>
        <v>KO</v>
      </c>
      <c r="K20" s="3">
        <v>0.19848815166486281</v>
      </c>
      <c r="M20" s="8">
        <v>5</v>
      </c>
      <c r="N20" s="64" t="str">
        <f>Data!$B13</f>
        <v>KO</v>
      </c>
      <c r="O20" s="3">
        <v>9.4734096950018776E-2</v>
      </c>
      <c r="Q20" s="12">
        <v>5</v>
      </c>
      <c r="R20" s="64" t="str">
        <f>Data!$B13</f>
        <v>KO</v>
      </c>
      <c r="S20" s="3">
        <v>0.10334891536377215</v>
      </c>
      <c r="U20" s="12">
        <v>5</v>
      </c>
      <c r="V20" s="64" t="str">
        <f>Data!$B13</f>
        <v>KO</v>
      </c>
      <c r="W20" s="3">
        <v>4.0550511406232857E-2</v>
      </c>
      <c r="AF20" s="67">
        <v>5</v>
      </c>
      <c r="AG20" s="10">
        <f>Data!AA13</f>
        <v>-0.2</v>
      </c>
      <c r="AH20" s="10">
        <f>Data!AB13</f>
        <v>0.2</v>
      </c>
    </row>
    <row r="21" spans="1:34" x14ac:dyDescent="0.55000000000000004">
      <c r="A21" s="23">
        <v>6</v>
      </c>
      <c r="B21" s="64" t="str">
        <f>Data!$B14</f>
        <v>TKR6</v>
      </c>
      <c r="C21" s="3">
        <v>2.4684426470351111E-2</v>
      </c>
      <c r="E21" s="47">
        <v>6</v>
      </c>
      <c r="F21" s="64" t="str">
        <f>Data!$B14</f>
        <v>TKR6</v>
      </c>
      <c r="G21" s="3">
        <v>2.4684426470351111E-2</v>
      </c>
      <c r="I21" s="12">
        <v>6</v>
      </c>
      <c r="J21" s="64" t="str">
        <f>Data!$B14</f>
        <v>TKR6</v>
      </c>
      <c r="K21" s="3">
        <v>7.8543007440353099E-2</v>
      </c>
      <c r="M21" s="8">
        <v>6</v>
      </c>
      <c r="N21" s="64" t="str">
        <f>Data!$B14</f>
        <v>TKR6</v>
      </c>
      <c r="O21" s="3">
        <v>5.017925062192552E-2</v>
      </c>
      <c r="Q21" s="12">
        <v>6</v>
      </c>
      <c r="R21" s="64" t="str">
        <f>Data!$B14</f>
        <v>TKR6</v>
      </c>
      <c r="S21" s="3">
        <v>0.11639192027880367</v>
      </c>
      <c r="U21" s="12">
        <v>6</v>
      </c>
      <c r="V21" s="64" t="str">
        <f>Data!$B14</f>
        <v>TKR6</v>
      </c>
      <c r="W21" s="3">
        <v>3.5357679487923309E-2</v>
      </c>
      <c r="AF21" s="67">
        <v>6</v>
      </c>
      <c r="AG21" s="10">
        <f>Data!AA14</f>
        <v>-0.2</v>
      </c>
      <c r="AH21" s="10">
        <f>Data!AB14</f>
        <v>0.2</v>
      </c>
    </row>
    <row r="22" spans="1:34" x14ac:dyDescent="0.55000000000000004">
      <c r="A22" s="23">
        <v>7</v>
      </c>
      <c r="B22" s="64" t="str">
        <f>Data!$B15</f>
        <v>TKR7</v>
      </c>
      <c r="C22" s="3">
        <v>-1.1214928890798665E-2</v>
      </c>
      <c r="E22" s="47">
        <v>7</v>
      </c>
      <c r="F22" s="64" t="str">
        <f>Data!$B15</f>
        <v>TKR7</v>
      </c>
      <c r="G22" s="3">
        <v>-1.1214928890798665E-2</v>
      </c>
      <c r="I22" s="12">
        <v>7</v>
      </c>
      <c r="J22" s="64" t="str">
        <f>Data!$B15</f>
        <v>TKR7</v>
      </c>
      <c r="K22" s="3">
        <v>-3.1876230507112686E-3</v>
      </c>
      <c r="M22" s="8">
        <v>7</v>
      </c>
      <c r="N22" s="64" t="str">
        <f>Data!$B15</f>
        <v>TKR7</v>
      </c>
      <c r="O22" s="3">
        <v>-7.4182677760347704E-3</v>
      </c>
      <c r="Q22" s="12">
        <v>7</v>
      </c>
      <c r="R22" s="64" t="str">
        <f>Data!$B15</f>
        <v>TKR7</v>
      </c>
      <c r="S22" s="3">
        <v>1.2077403135371562E-2</v>
      </c>
      <c r="U22" s="12">
        <v>7</v>
      </c>
      <c r="V22" s="64" t="str">
        <f>Data!$B15</f>
        <v>TKR7</v>
      </c>
      <c r="W22" s="3">
        <v>-9.6282919018840993E-3</v>
      </c>
      <c r="AF22" s="67">
        <v>7</v>
      </c>
      <c r="AG22" s="10">
        <f>Data!AA15</f>
        <v>-0.2</v>
      </c>
      <c r="AH22" s="10">
        <f>Data!AB15</f>
        <v>0.2</v>
      </c>
    </row>
    <row r="23" spans="1:34" x14ac:dyDescent="0.55000000000000004">
      <c r="A23" s="23">
        <v>8</v>
      </c>
      <c r="B23" s="64" t="str">
        <f>Data!$B16</f>
        <v>TKR8</v>
      </c>
      <c r="C23" s="3">
        <v>1.4954949699569774E-3</v>
      </c>
      <c r="E23" s="47">
        <v>8</v>
      </c>
      <c r="F23" s="64" t="str">
        <f>Data!$B16</f>
        <v>TKR8</v>
      </c>
      <c r="G23" s="3">
        <v>1.4954949699569774E-3</v>
      </c>
      <c r="I23" s="12">
        <v>8</v>
      </c>
      <c r="J23" s="64" t="str">
        <f>Data!$B16</f>
        <v>TKR8</v>
      </c>
      <c r="K23" s="3">
        <v>-5.7067326153104371E-2</v>
      </c>
      <c r="M23" s="8">
        <v>8</v>
      </c>
      <c r="N23" s="64" t="str">
        <f>Data!$B16</f>
        <v>TKR8</v>
      </c>
      <c r="O23" s="3">
        <v>-2.62134203388137E-2</v>
      </c>
      <c r="Q23" s="12">
        <v>8</v>
      </c>
      <c r="R23" s="64" t="str">
        <f>Data!$B16</f>
        <v>TKR8</v>
      </c>
      <c r="S23" s="3">
        <v>2.4387692666061028E-2</v>
      </c>
      <c r="U23" s="12">
        <v>8</v>
      </c>
      <c r="V23" s="64" t="str">
        <f>Data!$B16</f>
        <v>TKR8</v>
      </c>
      <c r="W23" s="3">
        <v>-1.0113193231225273E-2</v>
      </c>
      <c r="AF23" s="67">
        <v>8</v>
      </c>
      <c r="AG23" s="10">
        <f>Data!AA16</f>
        <v>-0.2</v>
      </c>
      <c r="AH23" s="10">
        <f>Data!AB16</f>
        <v>0.2</v>
      </c>
    </row>
    <row r="24" spans="1:34" x14ac:dyDescent="0.55000000000000004">
      <c r="A24" s="23">
        <v>9</v>
      </c>
      <c r="B24" s="64" t="str">
        <f>Data!$B17</f>
        <v>TKR9</v>
      </c>
      <c r="C24" s="3">
        <v>-2.3531289388928553E-2</v>
      </c>
      <c r="E24" s="47">
        <v>9</v>
      </c>
      <c r="F24" s="64" t="str">
        <f>Data!$B17</f>
        <v>TKR9</v>
      </c>
      <c r="G24" s="3">
        <v>-2.3531289388928553E-2</v>
      </c>
      <c r="I24" s="12">
        <v>9</v>
      </c>
      <c r="J24" s="64" t="str">
        <f>Data!$B17</f>
        <v>TKR9</v>
      </c>
      <c r="K24" s="3">
        <v>0.23400564835766341</v>
      </c>
      <c r="M24" s="8">
        <v>9</v>
      </c>
      <c r="N24" s="64" t="str">
        <f>Data!$B17</f>
        <v>TKR9</v>
      </c>
      <c r="O24" s="3">
        <v>9.836082983086511E-2</v>
      </c>
      <c r="Q24" s="12">
        <v>9</v>
      </c>
      <c r="R24" s="64" t="str">
        <f>Data!$B17</f>
        <v>TKR9</v>
      </c>
      <c r="S24" s="3">
        <v>5.4630168616727696E-2</v>
      </c>
      <c r="U24" s="12">
        <v>9</v>
      </c>
      <c r="V24" s="64" t="str">
        <f>Data!$B17</f>
        <v>TKR9</v>
      </c>
      <c r="W24" s="3">
        <v>2.7527031237941958E-2</v>
      </c>
      <c r="AF24" s="67">
        <v>9</v>
      </c>
      <c r="AG24" s="10">
        <f>Data!AA17</f>
        <v>-0.2</v>
      </c>
      <c r="AH24" s="10">
        <f>Data!AB17</f>
        <v>0.2</v>
      </c>
    </row>
    <row r="25" spans="1:34" x14ac:dyDescent="0.55000000000000004">
      <c r="A25" s="23">
        <v>10</v>
      </c>
      <c r="B25" s="64" t="str">
        <f>Data!$B18</f>
        <v>TKR10</v>
      </c>
      <c r="C25" s="3">
        <v>1.4954949699569262E-3</v>
      </c>
      <c r="E25" s="47">
        <v>10</v>
      </c>
      <c r="F25" s="64" t="str">
        <f>Data!$B18</f>
        <v>TKR10</v>
      </c>
      <c r="G25" s="3">
        <v>1.4954949699569262E-3</v>
      </c>
      <c r="I25" s="12">
        <v>10</v>
      </c>
      <c r="J25" s="64" t="str">
        <f>Data!$B18</f>
        <v>TKR10</v>
      </c>
      <c r="K25" s="3">
        <v>0.38737690951903275</v>
      </c>
      <c r="M25" s="8">
        <v>10</v>
      </c>
      <c r="N25" s="64" t="str">
        <f>Data!$B18</f>
        <v>TKR10</v>
      </c>
      <c r="O25" s="3">
        <v>0.18413010003973684</v>
      </c>
      <c r="Q25" s="12">
        <v>10</v>
      </c>
      <c r="R25" s="64" t="str">
        <f>Data!$B18</f>
        <v>TKR10</v>
      </c>
      <c r="S25" s="3">
        <v>0.16171157288287258</v>
      </c>
      <c r="U25" s="12">
        <v>10</v>
      </c>
      <c r="V25" s="64" t="str">
        <f>Data!$B18</f>
        <v>TKR10</v>
      </c>
      <c r="W25" s="3">
        <v>7.7997871236951941E-2</v>
      </c>
      <c r="AF25" s="67">
        <v>10</v>
      </c>
      <c r="AG25" s="10">
        <f>Data!AA18</f>
        <v>-0.2</v>
      </c>
      <c r="AH25" s="10">
        <f>Data!AB18</f>
        <v>0.2</v>
      </c>
    </row>
    <row r="26" spans="1:34" x14ac:dyDescent="0.55000000000000004">
      <c r="A26" s="23">
        <v>11</v>
      </c>
      <c r="B26" s="64" t="str">
        <f>Data!$B19</f>
        <v>TKR11</v>
      </c>
      <c r="C26" s="3">
        <v>0</v>
      </c>
      <c r="E26" s="47">
        <v>11</v>
      </c>
      <c r="F26" s="64" t="str">
        <f>Data!$B19</f>
        <v>TKR11</v>
      </c>
      <c r="G26" s="3">
        <v>0</v>
      </c>
      <c r="I26" s="12">
        <v>11</v>
      </c>
      <c r="J26" s="64" t="str">
        <f>Data!$B19</f>
        <v>TKR11</v>
      </c>
      <c r="K26" s="3">
        <v>0</v>
      </c>
      <c r="M26" s="8">
        <v>11</v>
      </c>
      <c r="N26" s="64" t="str">
        <f>Data!$B19</f>
        <v>TKR11</v>
      </c>
      <c r="O26" s="3">
        <v>0</v>
      </c>
      <c r="Q26" s="12">
        <v>11</v>
      </c>
      <c r="R26" s="64" t="str">
        <f>Data!$B19</f>
        <v>TKR11</v>
      </c>
      <c r="S26" s="3">
        <v>0</v>
      </c>
      <c r="U26" s="12">
        <v>11</v>
      </c>
      <c r="V26" s="64" t="str">
        <f>Data!$B19</f>
        <v>TKR11</v>
      </c>
      <c r="W26" s="3">
        <v>0</v>
      </c>
      <c r="AF26" s="67">
        <v>11</v>
      </c>
      <c r="AG26" s="10">
        <f>Data!AA19</f>
        <v>-0.2</v>
      </c>
      <c r="AH26" s="10">
        <f>Data!AB19</f>
        <v>0.2</v>
      </c>
    </row>
    <row r="27" spans="1:34" x14ac:dyDescent="0.55000000000000004">
      <c r="A27" s="23">
        <v>12</v>
      </c>
      <c r="B27" s="64" t="str">
        <f>Data!$B20</f>
        <v>TKR12</v>
      </c>
      <c r="C27" s="3">
        <v>0</v>
      </c>
      <c r="E27" s="47">
        <v>12</v>
      </c>
      <c r="F27" s="64" t="str">
        <f>Data!$B20</f>
        <v>TKR12</v>
      </c>
      <c r="G27" s="3">
        <v>0</v>
      </c>
      <c r="I27" s="12">
        <v>12</v>
      </c>
      <c r="J27" s="64" t="str">
        <f>Data!$B20</f>
        <v>TKR12</v>
      </c>
      <c r="K27" s="3">
        <v>0</v>
      </c>
      <c r="M27" s="8">
        <v>12</v>
      </c>
      <c r="N27" s="64" t="str">
        <f>Data!$B20</f>
        <v>TKR12</v>
      </c>
      <c r="O27" s="3">
        <v>0</v>
      </c>
      <c r="Q27" s="12">
        <v>12</v>
      </c>
      <c r="R27" s="64" t="str">
        <f>Data!$B20</f>
        <v>TKR12</v>
      </c>
      <c r="S27" s="3">
        <v>0</v>
      </c>
      <c r="U27" s="12">
        <v>12</v>
      </c>
      <c r="V27" s="64" t="str">
        <f>Data!$B20</f>
        <v>TKR12</v>
      </c>
      <c r="W27" s="3">
        <v>0</v>
      </c>
      <c r="AF27" s="67">
        <v>12</v>
      </c>
      <c r="AG27" s="10">
        <f>Data!AA20</f>
        <v>-0.2</v>
      </c>
      <c r="AH27" s="10">
        <f>Data!AB20</f>
        <v>0.2</v>
      </c>
    </row>
    <row r="28" spans="1:34" x14ac:dyDescent="0.55000000000000004">
      <c r="A28" s="23">
        <v>13</v>
      </c>
      <c r="B28" s="64" t="str">
        <f>Data!$B21</f>
        <v>TKR13</v>
      </c>
      <c r="C28" s="3">
        <v>0</v>
      </c>
      <c r="E28" s="47">
        <v>13</v>
      </c>
      <c r="F28" s="64" t="str">
        <f>Data!$B21</f>
        <v>TKR13</v>
      </c>
      <c r="G28" s="3">
        <v>0</v>
      </c>
      <c r="I28" s="12">
        <v>13</v>
      </c>
      <c r="J28" s="64" t="str">
        <f>Data!$B21</f>
        <v>TKR13</v>
      </c>
      <c r="K28" s="3">
        <v>0</v>
      </c>
      <c r="M28" s="8">
        <v>13</v>
      </c>
      <c r="N28" s="64" t="str">
        <f>Data!$B21</f>
        <v>TKR13</v>
      </c>
      <c r="O28" s="3">
        <v>0</v>
      </c>
      <c r="Q28" s="12">
        <v>13</v>
      </c>
      <c r="R28" s="64" t="str">
        <f>Data!$B21</f>
        <v>TKR13</v>
      </c>
      <c r="S28" s="3">
        <v>0</v>
      </c>
      <c r="U28" s="12">
        <v>13</v>
      </c>
      <c r="V28" s="64" t="str">
        <f>Data!$B21</f>
        <v>TKR13</v>
      </c>
      <c r="W28" s="3">
        <v>0</v>
      </c>
      <c r="AF28" s="67">
        <v>13</v>
      </c>
      <c r="AG28" s="10">
        <f>Data!AA21</f>
        <v>-0.2</v>
      </c>
      <c r="AH28" s="10">
        <f>Data!AB21</f>
        <v>0.2</v>
      </c>
    </row>
    <row r="29" spans="1:34" x14ac:dyDescent="0.55000000000000004">
      <c r="A29" s="23">
        <v>14</v>
      </c>
      <c r="B29" s="64" t="str">
        <f>Data!$B22</f>
        <v>TKR14</v>
      </c>
      <c r="C29" s="3">
        <v>0</v>
      </c>
      <c r="E29" s="47">
        <v>14</v>
      </c>
      <c r="F29" s="64" t="str">
        <f>Data!$B22</f>
        <v>TKR14</v>
      </c>
      <c r="G29" s="3">
        <v>0</v>
      </c>
      <c r="I29" s="12">
        <v>14</v>
      </c>
      <c r="J29" s="64" t="str">
        <f>Data!$B22</f>
        <v>TKR14</v>
      </c>
      <c r="K29" s="3">
        <v>0</v>
      </c>
      <c r="M29" s="8">
        <v>14</v>
      </c>
      <c r="N29" s="64" t="str">
        <f>Data!$B22</f>
        <v>TKR14</v>
      </c>
      <c r="O29" s="3">
        <v>0</v>
      </c>
      <c r="Q29" s="12">
        <v>14</v>
      </c>
      <c r="R29" s="64" t="str">
        <f>Data!$B22</f>
        <v>TKR14</v>
      </c>
      <c r="S29" s="3">
        <v>0</v>
      </c>
      <c r="U29" s="12">
        <v>14</v>
      </c>
      <c r="V29" s="64" t="str">
        <f>Data!$B22</f>
        <v>TKR14</v>
      </c>
      <c r="W29" s="3">
        <v>0</v>
      </c>
      <c r="AF29" s="67">
        <v>14</v>
      </c>
      <c r="AG29" s="10">
        <f>Data!AA22</f>
        <v>-0.2</v>
      </c>
      <c r="AH29" s="10">
        <f>Data!AB22</f>
        <v>0.2</v>
      </c>
    </row>
    <row r="30" spans="1:34" x14ac:dyDescent="0.55000000000000004">
      <c r="A30" s="23">
        <v>15</v>
      </c>
      <c r="B30" s="64" t="str">
        <f>Data!$B23</f>
        <v>TKR15</v>
      </c>
      <c r="C30" s="3">
        <v>0</v>
      </c>
      <c r="E30" s="47">
        <v>15</v>
      </c>
      <c r="F30" s="64" t="str">
        <f>Data!$B23</f>
        <v>TKR15</v>
      </c>
      <c r="G30" s="3">
        <v>0</v>
      </c>
      <c r="I30" s="12">
        <v>15</v>
      </c>
      <c r="J30" s="64" t="str">
        <f>Data!$B23</f>
        <v>TKR15</v>
      </c>
      <c r="K30" s="3">
        <v>0</v>
      </c>
      <c r="M30" s="8">
        <v>15</v>
      </c>
      <c r="N30" s="64" t="str">
        <f>Data!$B23</f>
        <v>TKR15</v>
      </c>
      <c r="O30" s="3">
        <v>0</v>
      </c>
      <c r="Q30" s="12">
        <v>15</v>
      </c>
      <c r="R30" s="64" t="str">
        <f>Data!$B23</f>
        <v>TKR15</v>
      </c>
      <c r="S30" s="3">
        <v>0</v>
      </c>
      <c r="U30" s="12">
        <v>15</v>
      </c>
      <c r="V30" s="64" t="str">
        <f>Data!$B23</f>
        <v>TKR15</v>
      </c>
      <c r="W30" s="3">
        <v>0</v>
      </c>
      <c r="AF30" s="67">
        <v>15</v>
      </c>
      <c r="AG30" s="10">
        <f>Data!AA23</f>
        <v>-0.2</v>
      </c>
      <c r="AH30" s="10">
        <f>Data!AB23</f>
        <v>0.2</v>
      </c>
    </row>
    <row r="31" spans="1:34" x14ac:dyDescent="0.55000000000000004">
      <c r="A31" s="23">
        <v>16</v>
      </c>
      <c r="B31" s="64" t="str">
        <f>Data!$B24</f>
        <v>TKR16</v>
      </c>
      <c r="C31" s="3">
        <v>0</v>
      </c>
      <c r="E31" s="47">
        <v>16</v>
      </c>
      <c r="F31" s="64" t="str">
        <f>Data!$B24</f>
        <v>TKR16</v>
      </c>
      <c r="G31" s="3">
        <v>0</v>
      </c>
      <c r="I31" s="12">
        <v>16</v>
      </c>
      <c r="J31" s="64" t="str">
        <f>Data!$B24</f>
        <v>TKR16</v>
      </c>
      <c r="K31" s="3">
        <v>0</v>
      </c>
      <c r="M31" s="8">
        <v>16</v>
      </c>
      <c r="N31" s="64" t="str">
        <f>Data!$B24</f>
        <v>TKR16</v>
      </c>
      <c r="O31" s="3">
        <v>0</v>
      </c>
      <c r="Q31" s="12">
        <v>16</v>
      </c>
      <c r="R31" s="64" t="str">
        <f>Data!$B24</f>
        <v>TKR16</v>
      </c>
      <c r="S31" s="3">
        <v>0</v>
      </c>
      <c r="U31" s="12">
        <v>16</v>
      </c>
      <c r="V31" s="64" t="str">
        <f>Data!$B24</f>
        <v>TKR16</v>
      </c>
      <c r="W31" s="3">
        <v>0</v>
      </c>
      <c r="AF31" s="67">
        <v>16</v>
      </c>
      <c r="AG31" s="10">
        <f>Data!AA24</f>
        <v>-0.2</v>
      </c>
      <c r="AH31" s="10">
        <f>Data!AB24</f>
        <v>0.2</v>
      </c>
    </row>
    <row r="32" spans="1:34" x14ac:dyDescent="0.55000000000000004">
      <c r="A32" s="23">
        <v>17</v>
      </c>
      <c r="B32" s="64" t="str">
        <f>Data!$B25</f>
        <v>TKR17</v>
      </c>
      <c r="C32" s="3">
        <v>0</v>
      </c>
      <c r="E32" s="47">
        <v>17</v>
      </c>
      <c r="F32" s="64" t="str">
        <f>Data!$B25</f>
        <v>TKR17</v>
      </c>
      <c r="G32" s="3">
        <v>0</v>
      </c>
      <c r="I32" s="12">
        <v>17</v>
      </c>
      <c r="J32" s="64" t="str">
        <f>Data!$B25</f>
        <v>TKR17</v>
      </c>
      <c r="K32" s="3">
        <v>0</v>
      </c>
      <c r="M32" s="8">
        <v>17</v>
      </c>
      <c r="N32" s="64" t="str">
        <f>Data!$B25</f>
        <v>TKR17</v>
      </c>
      <c r="O32" s="3">
        <v>0</v>
      </c>
      <c r="Q32" s="12">
        <v>17</v>
      </c>
      <c r="R32" s="64" t="str">
        <f>Data!$B25</f>
        <v>TKR17</v>
      </c>
      <c r="S32" s="3">
        <v>0</v>
      </c>
      <c r="U32" s="12">
        <v>17</v>
      </c>
      <c r="V32" s="64" t="str">
        <f>Data!$B25</f>
        <v>TKR17</v>
      </c>
      <c r="W32" s="3">
        <v>0</v>
      </c>
      <c r="AF32" s="67">
        <v>17</v>
      </c>
      <c r="AG32" s="10">
        <f>Data!AA25</f>
        <v>-0.2</v>
      </c>
      <c r="AH32" s="10">
        <f>Data!AB25</f>
        <v>0.2</v>
      </c>
    </row>
    <row r="33" spans="1:34" x14ac:dyDescent="0.55000000000000004">
      <c r="A33" s="23">
        <v>18</v>
      </c>
      <c r="B33" s="64" t="str">
        <f>Data!$B26</f>
        <v>TKR18</v>
      </c>
      <c r="C33" s="3">
        <v>0</v>
      </c>
      <c r="E33" s="47">
        <v>18</v>
      </c>
      <c r="F33" s="64" t="str">
        <f>Data!$B26</f>
        <v>TKR18</v>
      </c>
      <c r="G33" s="3">
        <v>0</v>
      </c>
      <c r="I33" s="12">
        <v>18</v>
      </c>
      <c r="J33" s="64" t="str">
        <f>Data!$B26</f>
        <v>TKR18</v>
      </c>
      <c r="K33" s="3">
        <v>0</v>
      </c>
      <c r="M33" s="8">
        <v>18</v>
      </c>
      <c r="N33" s="64" t="str">
        <f>Data!$B26</f>
        <v>TKR18</v>
      </c>
      <c r="O33" s="3">
        <v>0</v>
      </c>
      <c r="Q33" s="12">
        <v>18</v>
      </c>
      <c r="R33" s="64" t="str">
        <f>Data!$B26</f>
        <v>TKR18</v>
      </c>
      <c r="S33" s="3">
        <v>0</v>
      </c>
      <c r="U33" s="12">
        <v>18</v>
      </c>
      <c r="V33" s="64" t="str">
        <f>Data!$B26</f>
        <v>TKR18</v>
      </c>
      <c r="W33" s="3">
        <v>0</v>
      </c>
      <c r="AF33" s="67">
        <v>18</v>
      </c>
      <c r="AG33" s="10">
        <f>Data!AA26</f>
        <v>-0.2</v>
      </c>
      <c r="AH33" s="10">
        <f>Data!AB26</f>
        <v>0.2</v>
      </c>
    </row>
    <row r="34" spans="1:34" x14ac:dyDescent="0.55000000000000004">
      <c r="A34" s="23">
        <v>19</v>
      </c>
      <c r="B34" s="64" t="str">
        <f>Data!$B27</f>
        <v>TKR19</v>
      </c>
      <c r="C34" s="3">
        <v>0</v>
      </c>
      <c r="E34" s="47">
        <v>19</v>
      </c>
      <c r="F34" s="64" t="str">
        <f>Data!$B27</f>
        <v>TKR19</v>
      </c>
      <c r="G34" s="3">
        <v>0</v>
      </c>
      <c r="I34" s="12">
        <v>19</v>
      </c>
      <c r="J34" s="64" t="str">
        <f>Data!$B27</f>
        <v>TKR19</v>
      </c>
      <c r="K34" s="3">
        <v>0</v>
      </c>
      <c r="M34" s="8">
        <v>19</v>
      </c>
      <c r="N34" s="64" t="str">
        <f>Data!$B27</f>
        <v>TKR19</v>
      </c>
      <c r="O34" s="3">
        <v>0</v>
      </c>
      <c r="Q34" s="12">
        <v>19</v>
      </c>
      <c r="R34" s="64" t="str">
        <f>Data!$B27</f>
        <v>TKR19</v>
      </c>
      <c r="S34" s="3">
        <v>0</v>
      </c>
      <c r="U34" s="12">
        <v>19</v>
      </c>
      <c r="V34" s="64" t="str">
        <f>Data!$B27</f>
        <v>TKR19</v>
      </c>
      <c r="W34" s="3">
        <v>0</v>
      </c>
      <c r="AF34" s="67">
        <v>19</v>
      </c>
      <c r="AG34" s="10">
        <f>Data!AA27</f>
        <v>-0.2</v>
      </c>
      <c r="AH34" s="10">
        <f>Data!AB27</f>
        <v>0.2</v>
      </c>
    </row>
    <row r="35" spans="1:34" x14ac:dyDescent="0.55000000000000004">
      <c r="A35" s="23">
        <v>20</v>
      </c>
      <c r="B35" s="64" t="str">
        <f>Data!$B28</f>
        <v>TKR20</v>
      </c>
      <c r="C35" s="3">
        <v>0</v>
      </c>
      <c r="E35" s="47">
        <v>20</v>
      </c>
      <c r="F35" s="64" t="str">
        <f>Data!$B28</f>
        <v>TKR20</v>
      </c>
      <c r="G35" s="3">
        <v>0</v>
      </c>
      <c r="I35" s="12">
        <v>20</v>
      </c>
      <c r="J35" s="64" t="str">
        <f>Data!$B28</f>
        <v>TKR20</v>
      </c>
      <c r="K35" s="3">
        <v>0</v>
      </c>
      <c r="M35" s="8">
        <v>20</v>
      </c>
      <c r="N35" s="64" t="str">
        <f>Data!$B28</f>
        <v>TKR20</v>
      </c>
      <c r="O35" s="3">
        <v>0</v>
      </c>
      <c r="Q35" s="12">
        <v>20</v>
      </c>
      <c r="R35" s="64" t="str">
        <f>Data!$B28</f>
        <v>TKR20</v>
      </c>
      <c r="S35" s="3">
        <v>0</v>
      </c>
      <c r="U35" s="12">
        <v>20</v>
      </c>
      <c r="V35" s="64" t="str">
        <f>Data!$B28</f>
        <v>TKR20</v>
      </c>
      <c r="W35" s="3">
        <v>0</v>
      </c>
      <c r="AF35" s="67">
        <v>20</v>
      </c>
      <c r="AG35" s="10">
        <f>Data!AA28</f>
        <v>-0.2</v>
      </c>
      <c r="AH35" s="10">
        <f>Data!AB28</f>
        <v>0.2</v>
      </c>
    </row>
    <row r="37" spans="1:34" ht="18" customHeight="1" x14ac:dyDescent="0.75">
      <c r="A37" s="94" t="s">
        <v>65</v>
      </c>
      <c r="B37" s="95"/>
      <c r="C37" s="11">
        <f ca="1">SUM(Wts_P0)</f>
        <v>1.0000000000000004</v>
      </c>
      <c r="E37" s="94" t="s">
        <v>65</v>
      </c>
      <c r="F37" s="95"/>
      <c r="G37" s="11">
        <f ca="1">SUM(Wts_P0A)</f>
        <v>1.0000000000000004</v>
      </c>
      <c r="I37" s="94" t="s">
        <v>65</v>
      </c>
      <c r="J37" s="95"/>
      <c r="K37" s="11">
        <f ca="1">SUM(Wts_P1)</f>
        <v>1</v>
      </c>
      <c r="M37" s="94" t="s">
        <v>65</v>
      </c>
      <c r="N37" s="95"/>
      <c r="O37" s="11">
        <f ca="1">SUM(Wts_P2)</f>
        <v>1</v>
      </c>
      <c r="Q37" s="94" t="s">
        <v>65</v>
      </c>
      <c r="R37" s="95"/>
      <c r="S37" s="11">
        <f ca="1">SUM(Wts_P3)</f>
        <v>1.0732208427828542</v>
      </c>
      <c r="U37" s="94" t="s">
        <v>65</v>
      </c>
      <c r="V37" s="95"/>
      <c r="W37" s="11">
        <f ca="1">SUM(Wts_P4)</f>
        <v>1.0000000000000002</v>
      </c>
    </row>
    <row r="38" spans="1:34" ht="18" customHeight="1" x14ac:dyDescent="0.75">
      <c r="A38" s="91" t="s">
        <v>66</v>
      </c>
      <c r="B38" s="91"/>
      <c r="C38" s="10">
        <f t="array" aca="1" ref="C38" ca="1">MMULT(TRANSPOSE(Wts_P0),ExpRet)</f>
        <v>7.0117252093718607E-2</v>
      </c>
      <c r="E38" s="91" t="s">
        <v>66</v>
      </c>
      <c r="F38" s="91"/>
      <c r="G38" s="10">
        <f t="array" aca="1" ref="G38" ca="1">MMULT(TRANSPOSE(Wts_P0A),ExpRet)</f>
        <v>7.0117252093718607E-2</v>
      </c>
      <c r="I38" s="91" t="s">
        <v>66</v>
      </c>
      <c r="J38" s="91"/>
      <c r="K38" s="10">
        <f t="array" aca="1" ref="K38" ca="1">MMULT(TRANSPOSE(Wts_P1),ExpRet)</f>
        <v>0.13325488771014563</v>
      </c>
      <c r="M38" s="91" t="s">
        <v>66</v>
      </c>
      <c r="N38" s="91"/>
      <c r="O38" s="10">
        <f t="array" aca="1" ref="O38" ca="1">MMULT(TRANSPOSE(Wts_P2),ExpRet)</f>
        <v>0.10000000099178799</v>
      </c>
      <c r="Q38" s="91" t="s">
        <v>66</v>
      </c>
      <c r="R38" s="91"/>
      <c r="S38" s="10">
        <f t="array" aca="1" ref="S38" ca="1">MMULT(TRANSPOSE(Wts_P3),ExpRet)</f>
        <v>0.10689943721008044</v>
      </c>
      <c r="U38" s="91" t="s">
        <v>66</v>
      </c>
      <c r="V38" s="91"/>
      <c r="W38" s="10">
        <f t="array" aca="1" ref="W38" ca="1">MMULT(TRANSPOSE(Wts_P4),ExpRet)</f>
        <v>8.2633798324200758E-2</v>
      </c>
    </row>
    <row r="39" spans="1:34" ht="18" customHeight="1" x14ac:dyDescent="0.75">
      <c r="A39" s="91" t="s">
        <v>67</v>
      </c>
      <c r="B39" s="91"/>
      <c r="C39" s="10">
        <f t="array" aca="1" ref="C39" ca="1">SQRT(MMULT(MMULT(TRANSPOSE(Wts_P0),Cov),Wts_P0))</f>
        <v>5.7549527442030526E-2</v>
      </c>
      <c r="E39" s="91" t="s">
        <v>67</v>
      </c>
      <c r="F39" s="91"/>
      <c r="G39" s="10">
        <f t="array" aca="1" ref="G39" ca="1">SQRT(MMULT(MMULT(TRANSPOSE(Wts_P0A),Cov),Wts_P0A))</f>
        <v>5.7549527442030526E-2</v>
      </c>
      <c r="I39" s="91" t="s">
        <v>67</v>
      </c>
      <c r="J39" s="91"/>
      <c r="K39" s="10">
        <f t="array" aca="1" ref="K39" ca="1">SQRT(MMULT(MMULT(TRANSPOSE(Wts_P1),Cov),Wts_P1))</f>
        <v>0.15607073770165114</v>
      </c>
      <c r="M39" s="91" t="s">
        <v>67</v>
      </c>
      <c r="N39" s="91"/>
      <c r="O39" s="10">
        <f t="array" aca="1" ref="O39" ca="1">SQRT(MMULT(MMULT(TRANSPOSE(Wts_P2),Cov),Wts_P2))</f>
        <v>8.9591278259058091E-2</v>
      </c>
      <c r="Q39" s="91" t="s">
        <v>67</v>
      </c>
      <c r="R39" s="91"/>
      <c r="S39" s="10">
        <f t="array" aca="1" ref="S39" ca="1">SQRT(MMULT(MMULT(TRANSPOSE(Wts_P3),Cov),Wts_P3))</f>
        <v>0.10000095604777796</v>
      </c>
      <c r="U39" s="91" t="s">
        <v>67</v>
      </c>
      <c r="V39" s="91"/>
      <c r="W39" s="10">
        <f t="array" aca="1" ref="W39" ca="1">SQRT(MMULT(MMULT(TRANSPOSE(Wts_P4),Cov),Wts_P4))</f>
        <v>6.4336215436225822E-2</v>
      </c>
    </row>
    <row r="40" spans="1:34" ht="18" customHeight="1" x14ac:dyDescent="0.55000000000000004">
      <c r="A40" s="95" t="s">
        <v>68</v>
      </c>
      <c r="B40" s="95"/>
      <c r="C40" s="9">
        <f ca="1">ER_P0-0.5*A*sigma_P0^2</f>
        <v>6.5149329930517072E-2</v>
      </c>
      <c r="E40" s="95" t="s">
        <v>68</v>
      </c>
      <c r="F40" s="95"/>
      <c r="G40" s="9">
        <f ca="1">ER_P0A-0.5*A*sigma_P0A^2</f>
        <v>6.5149329930517072E-2</v>
      </c>
      <c r="I40" s="95" t="s">
        <v>68</v>
      </c>
      <c r="J40" s="95"/>
      <c r="K40" s="9">
        <f ca="1">ER_P1-0.5*A*sigma_P1^2</f>
        <v>9.6717774960039235E-2</v>
      </c>
      <c r="M40" s="95" t="s">
        <v>68</v>
      </c>
      <c r="N40" s="95"/>
      <c r="O40" s="9">
        <f ca="1">ER_P2-0.5*A*sigma_P2^2</f>
        <v>8.7960105281650033E-2</v>
      </c>
      <c r="Q40" s="95" t="s">
        <v>68</v>
      </c>
      <c r="R40" s="95"/>
      <c r="S40" s="9">
        <f ca="1">ER_P3-0.5*A*sigma_P3^2</f>
        <v>9.1899150394376017E-2</v>
      </c>
      <c r="U40" s="95" t="s">
        <v>68</v>
      </c>
      <c r="V40" s="95"/>
      <c r="W40" s="9">
        <f ca="1">ER_P4-0.5*A*sigma_P4^2</f>
        <v>7.6425075399216058E-2</v>
      </c>
    </row>
    <row r="41" spans="1:34" ht="18" customHeight="1" x14ac:dyDescent="0.55000000000000004">
      <c r="A41" s="95" t="s">
        <v>69</v>
      </c>
      <c r="B41" s="95"/>
      <c r="C41" s="19">
        <f ca="1">NORMDIST(0,ER_P0,sigma_P0,1)</f>
        <v>0.11153960666025479</v>
      </c>
      <c r="E41" s="95" t="s">
        <v>69</v>
      </c>
      <c r="F41" s="95"/>
      <c r="G41" s="19">
        <f ca="1">NORMDIST(0,ER_P0A,sigma_P0A,1)</f>
        <v>0.11153960666025479</v>
      </c>
      <c r="I41" s="95" t="s">
        <v>69</v>
      </c>
      <c r="J41" s="95"/>
      <c r="K41" s="19">
        <f ca="1">NORMDIST(0,ER_P1,sigma_P1,1)</f>
        <v>0.19660490355100299</v>
      </c>
      <c r="M41" s="95" t="s">
        <v>69</v>
      </c>
      <c r="N41" s="95"/>
      <c r="O41" s="19">
        <f ca="1">NORMDIST(0,ER_P2,sigma_P2,1)</f>
        <v>0.13217252766377033</v>
      </c>
      <c r="Q41" s="95" t="s">
        <v>69</v>
      </c>
      <c r="R41" s="95"/>
      <c r="S41" s="19">
        <f ca="1">NORMDIST(0,ER_P3,sigma_P3,1)</f>
        <v>0.14253840527760128</v>
      </c>
      <c r="U41" s="95" t="s">
        <v>69</v>
      </c>
      <c r="V41" s="95"/>
      <c r="W41" s="19">
        <f ca="1">NORMDIST(0,ER_P4,sigma_P4,1)</f>
        <v>9.9500029303229529E-2</v>
      </c>
    </row>
    <row r="42" spans="1:34" ht="18" customHeight="1" x14ac:dyDescent="0.55000000000000004">
      <c r="A42" s="95" t="s">
        <v>70</v>
      </c>
      <c r="B42" s="95"/>
      <c r="C42" s="9">
        <f ca="1">IF(rf=0,ER_P0-rf,(ER_P0-rf)/sigma_P0)</f>
        <v>0.87085427667849347</v>
      </c>
      <c r="E42" s="92" t="s">
        <v>43</v>
      </c>
      <c r="F42" s="93"/>
      <c r="G42" s="9">
        <f ca="1">IF(rf=0,ER_P0A-rf,(ER_P0A-rf)/sigma_P0A)</f>
        <v>0.87085427667849347</v>
      </c>
      <c r="I42" s="92" t="s">
        <v>43</v>
      </c>
      <c r="J42" s="93"/>
      <c r="K42" s="9">
        <f ca="1">IF(rf=0,ER_P1-rf,(ER_P1-rf)/sigma_P1)</f>
        <v>0.72566381999581875</v>
      </c>
      <c r="M42" s="92" t="s">
        <v>43</v>
      </c>
      <c r="N42" s="93"/>
      <c r="O42" s="9">
        <f ca="1">IF(rf=0,ER_P2-rf,(ER_P2-rf)/sigma_P2)</f>
        <v>0.89294407386915053</v>
      </c>
      <c r="Q42" s="92" t="s">
        <v>43</v>
      </c>
      <c r="R42" s="93"/>
      <c r="S42" s="9">
        <f ca="1">IF(rf=0,ER_P3-rf,(ER_P3-rf)/sigma_P3)</f>
        <v>0.86898606417884694</v>
      </c>
      <c r="U42" s="92" t="s">
        <v>43</v>
      </c>
      <c r="V42" s="93"/>
      <c r="W42" s="9">
        <f ca="1">IF(rf=0,ER_P4-rf,(ER_P4-rf)/sigma_P4)</f>
        <v>0.97353874329594947</v>
      </c>
    </row>
    <row r="45" spans="1:34" x14ac:dyDescent="0.55000000000000004">
      <c r="A45" s="13"/>
      <c r="B45" s="13"/>
      <c r="C45" s="13"/>
      <c r="L45" s="13"/>
      <c r="M45" s="13"/>
      <c r="N45" s="13"/>
      <c r="O45" s="13"/>
      <c r="P45" s="13"/>
      <c r="Q45" s="13"/>
      <c r="T45" s="13"/>
      <c r="U45" s="13"/>
    </row>
    <row r="52" spans="22:23" x14ac:dyDescent="0.55000000000000004">
      <c r="V52" s="88" t="s">
        <v>96</v>
      </c>
      <c r="W52" s="88"/>
    </row>
    <row r="53" spans="22:23" x14ac:dyDescent="0.55000000000000004">
      <c r="V53" s="26">
        <v>0</v>
      </c>
      <c r="W53" s="26">
        <f>rf</f>
        <v>0.02</v>
      </c>
    </row>
    <row r="54" spans="22:23" x14ac:dyDescent="0.55000000000000004">
      <c r="V54" s="19">
        <f ca="1">sigma_P4</f>
        <v>6.4336215436225822E-2</v>
      </c>
      <c r="W54" s="19">
        <f ca="1">ER_P4</f>
        <v>8.2633798324200758E-2</v>
      </c>
    </row>
    <row r="55" spans="22:23" x14ac:dyDescent="0.55000000000000004">
      <c r="V55" s="19">
        <f ca="1">V54*1.5</f>
        <v>9.6504323154338739E-2</v>
      </c>
      <c r="W55" s="19">
        <f ca="1">W53+(W54-W53)*1.5</f>
        <v>0.11395069748630114</v>
      </c>
    </row>
  </sheetData>
  <mergeCells count="46">
    <mergeCell ref="U7:W8"/>
    <mergeCell ref="E41:F41"/>
    <mergeCell ref="E42:F42"/>
    <mergeCell ref="E37:F37"/>
    <mergeCell ref="E38:F38"/>
    <mergeCell ref="E39:F39"/>
    <mergeCell ref="E40:F40"/>
    <mergeCell ref="Q39:R39"/>
    <mergeCell ref="Q41:R41"/>
    <mergeCell ref="Q38:R38"/>
    <mergeCell ref="U37:V37"/>
    <mergeCell ref="U38:V38"/>
    <mergeCell ref="U39:V39"/>
    <mergeCell ref="U41:V41"/>
    <mergeCell ref="A2:F2"/>
    <mergeCell ref="M39:N39"/>
    <mergeCell ref="Q42:R42"/>
    <mergeCell ref="A42:B42"/>
    <mergeCell ref="A37:B37"/>
    <mergeCell ref="A38:B38"/>
    <mergeCell ref="A39:B39"/>
    <mergeCell ref="A40:B40"/>
    <mergeCell ref="A41:B41"/>
    <mergeCell ref="I42:J42"/>
    <mergeCell ref="N11:O11"/>
    <mergeCell ref="I40:J40"/>
    <mergeCell ref="M40:N40"/>
    <mergeCell ref="Q40:R40"/>
    <mergeCell ref="R11:S11"/>
    <mergeCell ref="Q37:R37"/>
    <mergeCell ref="V52:W52"/>
    <mergeCell ref="A7:C8"/>
    <mergeCell ref="E7:G8"/>
    <mergeCell ref="I7:K8"/>
    <mergeCell ref="M7:O8"/>
    <mergeCell ref="Q7:S8"/>
    <mergeCell ref="I38:J38"/>
    <mergeCell ref="I39:J39"/>
    <mergeCell ref="M42:N42"/>
    <mergeCell ref="M38:N38"/>
    <mergeCell ref="M37:N37"/>
    <mergeCell ref="M41:N41"/>
    <mergeCell ref="I41:J41"/>
    <mergeCell ref="I37:J37"/>
    <mergeCell ref="U42:V42"/>
    <mergeCell ref="U40:V40"/>
  </mergeCells>
  <conditionalFormatting sqref="P13 T13">
    <cfRule type="expression" dxfId="9" priority="61">
      <formula>P13="Error"</formula>
    </cfRule>
  </conditionalFormatting>
  <conditionalFormatting sqref="C16:C35 G16:G35 K16:K35 O16:O35 S16:S35 W16:W35">
    <cfRule type="expression" dxfId="8" priority="19">
      <formula>A16&gt;NStocks</formula>
    </cfRule>
  </conditionalFormatting>
  <conditionalFormatting sqref="B16:B35">
    <cfRule type="expression" dxfId="7" priority="9">
      <formula>$A16&gt;NStocks</formula>
    </cfRule>
  </conditionalFormatting>
  <conditionalFormatting sqref="F16:F35">
    <cfRule type="expression" dxfId="6" priority="8">
      <formula>$A16&gt;NStocks</formula>
    </cfRule>
  </conditionalFormatting>
  <conditionalFormatting sqref="J16:J35">
    <cfRule type="expression" dxfId="5" priority="7">
      <formula>$A16&gt;NStocks</formula>
    </cfRule>
  </conditionalFormatting>
  <conditionalFormatting sqref="N16:N35">
    <cfRule type="expression" dxfId="4" priority="6">
      <formula>$A16&gt;NStocks</formula>
    </cfRule>
  </conditionalFormatting>
  <conditionalFormatting sqref="R16:R35">
    <cfRule type="expression" dxfId="3" priority="5">
      <formula>$A16&gt;NStocks</formula>
    </cfRule>
  </conditionalFormatting>
  <conditionalFormatting sqref="V16:V35">
    <cfRule type="expression" dxfId="2" priority="4">
      <formula>$A16&gt;NStocks</formula>
    </cfRule>
  </conditionalFormatting>
  <conditionalFormatting sqref="AG30">
    <cfRule type="expression" dxfId="1" priority="2">
      <formula>X30&gt;NStocks</formula>
    </cfRule>
  </conditionalFormatting>
  <conditionalFormatting sqref="AG16:AH35">
    <cfRule type="expression" dxfId="0" priority="1">
      <formula>$AF16&gt;NStocks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Optimize">
                <anchor moveWithCells="1" sizeWithCells="1">
                  <from>
                    <xdr:col>4</xdr:col>
                    <xdr:colOff>400050</xdr:colOff>
                    <xdr:row>2</xdr:row>
                    <xdr:rowOff>152400</xdr:rowOff>
                  </from>
                  <to>
                    <xdr:col>6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60" baseType="lpstr">
      <vt:lpstr>Introduction</vt:lpstr>
      <vt:lpstr>Data</vt:lpstr>
      <vt:lpstr>Models</vt:lpstr>
      <vt:lpstr>Chart1</vt:lpstr>
      <vt:lpstr>A</vt:lpstr>
      <vt:lpstr>AllWts_P0</vt:lpstr>
      <vt:lpstr>AllWts_P0A</vt:lpstr>
      <vt:lpstr>AllWts_P1</vt:lpstr>
      <vt:lpstr>AllWts_P2</vt:lpstr>
      <vt:lpstr>AllWts_P3</vt:lpstr>
      <vt:lpstr>AllWts_P4</vt:lpstr>
      <vt:lpstr>AvgCorr</vt:lpstr>
      <vt:lpstr>ConstrainWeights</vt:lpstr>
      <vt:lpstr>ER_P0</vt:lpstr>
      <vt:lpstr>ER_P0A</vt:lpstr>
      <vt:lpstr>ER_P1</vt:lpstr>
      <vt:lpstr>ER_P2</vt:lpstr>
      <vt:lpstr>ER_P2_Max</vt:lpstr>
      <vt:lpstr>ER_P2_Min</vt:lpstr>
      <vt:lpstr>ER_P3</vt:lpstr>
      <vt:lpstr>ER_P4</vt:lpstr>
      <vt:lpstr>EU_P0</vt:lpstr>
      <vt:lpstr>EU_P0A</vt:lpstr>
      <vt:lpstr>EU_P1</vt:lpstr>
      <vt:lpstr>EU_P2</vt:lpstr>
      <vt:lpstr>EU_P3</vt:lpstr>
      <vt:lpstr>EU_P4</vt:lpstr>
      <vt:lpstr>MaxWtsColumnTitle</vt:lpstr>
      <vt:lpstr>MinWtsColumnTitle</vt:lpstr>
      <vt:lpstr>NStocks</vt:lpstr>
      <vt:lpstr>PoL_P0</vt:lpstr>
      <vt:lpstr>PoL_P0A</vt:lpstr>
      <vt:lpstr>PoL_P1</vt:lpstr>
      <vt:lpstr>PoL_P2</vt:lpstr>
      <vt:lpstr>PoL_P3</vt:lpstr>
      <vt:lpstr>PoL_P4</vt:lpstr>
      <vt:lpstr>rf</vt:lpstr>
      <vt:lpstr>sigma_Full</vt:lpstr>
      <vt:lpstr>sigma_P0</vt:lpstr>
      <vt:lpstr>sigma_P0A</vt:lpstr>
      <vt:lpstr>sigma_P1</vt:lpstr>
      <vt:lpstr>sigma_P2</vt:lpstr>
      <vt:lpstr>sigma_P3</vt:lpstr>
      <vt:lpstr>sigma_P3_Max</vt:lpstr>
      <vt:lpstr>sigma_P3_Min</vt:lpstr>
      <vt:lpstr>sigma_P4</vt:lpstr>
      <vt:lpstr>Slope_P0</vt:lpstr>
      <vt:lpstr>Slope_P0A</vt:lpstr>
      <vt:lpstr>Slope_P1</vt:lpstr>
      <vt:lpstr>Slope_P2</vt:lpstr>
      <vt:lpstr>Slope_P3</vt:lpstr>
      <vt:lpstr>Slope_P4</vt:lpstr>
      <vt:lpstr>StocksTitle</vt:lpstr>
      <vt:lpstr>StocksTitleRow</vt:lpstr>
      <vt:lpstr>SumWts_P0</vt:lpstr>
      <vt:lpstr>SumWts_P0A</vt:lpstr>
      <vt:lpstr>SumWts_P1</vt:lpstr>
      <vt:lpstr>SumWts_P2</vt:lpstr>
      <vt:lpstr>SumWts_P3</vt:lpstr>
      <vt:lpstr>SumWts_P4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Shukla</dc:creator>
  <cp:lastModifiedBy>Mohamed</cp:lastModifiedBy>
  <cp:lastPrinted>2008-10-16T12:03:43Z</cp:lastPrinted>
  <dcterms:created xsi:type="dcterms:W3CDTF">1996-10-14T23:33:28Z</dcterms:created>
  <dcterms:modified xsi:type="dcterms:W3CDTF">2016-12-24T20:41:40Z</dcterms:modified>
</cp:coreProperties>
</file>
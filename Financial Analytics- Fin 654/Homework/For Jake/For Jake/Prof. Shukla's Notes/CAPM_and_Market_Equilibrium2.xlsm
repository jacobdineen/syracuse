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71" codeName="{C999D3B4-68BB-379E-E534-F0D661931E69}"/>
  <workbookPr codeName="ThisWorkbook" defaultThemeVersion="124226"/>
  <mc:AlternateContent xmlns:mc="http://schemas.openxmlformats.org/markup-compatibility/2006">
    <mc:Choice Requires="x15">
      <x15ac:absPath xmlns:x15ac="http://schemas.microsoft.com/office/spreadsheetml/2010/11/ac" url="E:\MBA\January 2017\Finance\Prof. Shukla's Notes\"/>
    </mc:Choice>
  </mc:AlternateContent>
  <bookViews>
    <workbookView xWindow="0" yWindow="0" windowWidth="23040" windowHeight="8808"/>
  </bookViews>
  <sheets>
    <sheet name="Sheet1" sheetId="1" r:id="rId1"/>
    <sheet name="Sheet2" sheetId="2" state="hidden" r:id="rId2"/>
  </sheets>
  <definedNames>
    <definedName name="ROARange">Sheet2!$E$3:$E$1002</definedName>
    <definedName name="ROERange">Sheet2!$F$3:$F$1002</definedName>
    <definedName name="RVar">Sheet1!$G$33</definedName>
    <definedName name="RVarRange">Sheet2!$D$3:$D$1002</definedName>
  </definedNames>
  <calcPr calcId="171027"/>
</workbook>
</file>

<file path=xl/calcChain.xml><?xml version="1.0" encoding="utf-8"?>
<calcChain xmlns="http://schemas.openxmlformats.org/spreadsheetml/2006/main">
  <c r="G22" i="1" l="1"/>
  <c r="G10" i="1"/>
  <c r="B6" i="2"/>
  <c r="B5" i="2"/>
  <c r="B2" i="2"/>
  <c r="D31" i="1"/>
  <c r="B7" i="2" s="1"/>
  <c r="D29" i="1" l="1"/>
  <c r="B3" i="2" s="1"/>
  <c r="D30" i="1"/>
  <c r="B4" i="2" s="1"/>
  <c r="E104" i="2" l="1"/>
  <c r="E106" i="2"/>
  <c r="E108" i="2"/>
  <c r="E110" i="2"/>
  <c r="E112" i="2"/>
  <c r="E114" i="2"/>
  <c r="E116" i="2"/>
  <c r="E118" i="2"/>
  <c r="E120" i="2"/>
  <c r="E122" i="2"/>
  <c r="E124" i="2"/>
  <c r="E126" i="2"/>
  <c r="E128" i="2"/>
  <c r="E130" i="2"/>
  <c r="E132" i="2"/>
  <c r="E134" i="2"/>
  <c r="E136" i="2"/>
  <c r="E138" i="2"/>
  <c r="E140" i="2"/>
  <c r="E142" i="2"/>
  <c r="E144" i="2"/>
  <c r="E146" i="2"/>
  <c r="E147" i="2"/>
  <c r="E148" i="2"/>
  <c r="E149" i="2"/>
  <c r="E150" i="2"/>
  <c r="E154" i="2"/>
  <c r="E156" i="2"/>
  <c r="E157" i="2"/>
  <c r="E158" i="2"/>
  <c r="E159" i="2"/>
  <c r="E160" i="2"/>
  <c r="E161" i="2"/>
  <c r="E162" i="2"/>
  <c r="E164" i="2"/>
  <c r="E165" i="2"/>
  <c r="E166" i="2"/>
  <c r="E168" i="2"/>
  <c r="E169" i="2"/>
  <c r="E170" i="2"/>
  <c r="E171" i="2"/>
  <c r="E172" i="2"/>
  <c r="E173" i="2"/>
  <c r="E175" i="2"/>
  <c r="E176" i="2"/>
  <c r="E177" i="2"/>
  <c r="E178" i="2"/>
  <c r="E179" i="2"/>
  <c r="E180" i="2"/>
  <c r="E181" i="2"/>
  <c r="E182" i="2"/>
  <c r="E183" i="2"/>
  <c r="E185" i="2"/>
  <c r="E186" i="2"/>
  <c r="E187" i="2"/>
  <c r="E188" i="2"/>
  <c r="E189" i="2"/>
  <c r="E190" i="2"/>
  <c r="E191" i="2"/>
  <c r="E192" i="2"/>
  <c r="E193" i="2"/>
  <c r="E194" i="2"/>
  <c r="E195" i="2"/>
  <c r="E196" i="2"/>
  <c r="E197" i="2"/>
  <c r="E198" i="2"/>
  <c r="E199" i="2"/>
  <c r="E200" i="2"/>
  <c r="E201" i="2"/>
  <c r="E202" i="2"/>
  <c r="E204" i="2"/>
  <c r="E205" i="2"/>
  <c r="E206" i="2"/>
  <c r="E207" i="2"/>
  <c r="E208" i="2"/>
  <c r="E209" i="2"/>
  <c r="E210" i="2"/>
  <c r="E211" i="2"/>
  <c r="E213" i="2"/>
  <c r="E214" i="2"/>
  <c r="E216" i="2"/>
  <c r="E219" i="2"/>
  <c r="E221" i="2"/>
  <c r="E222" i="2"/>
  <c r="E223" i="2"/>
  <c r="E225" i="2"/>
  <c r="E226"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6" i="2"/>
  <c r="E267" i="2"/>
  <c r="E268" i="2"/>
  <c r="E269" i="2"/>
  <c r="E270" i="2"/>
  <c r="E271" i="2"/>
  <c r="E272" i="2"/>
  <c r="E273" i="2"/>
  <c r="E274" i="2"/>
  <c r="E275" i="2"/>
  <c r="E276" i="2"/>
  <c r="E277" i="2"/>
  <c r="E278" i="2"/>
  <c r="E279" i="2"/>
  <c r="E280" i="2"/>
  <c r="E281" i="2"/>
  <c r="E282" i="2"/>
  <c r="E283" i="2"/>
  <c r="E284" i="2"/>
  <c r="E286" i="2"/>
  <c r="E287" i="2"/>
  <c r="E288" i="2"/>
  <c r="E289" i="2"/>
  <c r="E290" i="2"/>
  <c r="E291" i="2"/>
  <c r="E292" i="2"/>
  <c r="E295" i="2"/>
  <c r="E297" i="2"/>
  <c r="E300" i="2"/>
  <c r="E301" i="2"/>
  <c r="E302" i="2"/>
  <c r="E303" i="2"/>
  <c r="E304" i="2"/>
  <c r="E305" i="2"/>
  <c r="E306" i="2"/>
  <c r="E307" i="2"/>
  <c r="E308" i="2"/>
  <c r="E309" i="2"/>
  <c r="E310" i="2"/>
  <c r="E311" i="2"/>
  <c r="E312" i="2"/>
  <c r="E313" i="2"/>
  <c r="E314" i="2"/>
  <c r="E315" i="2"/>
  <c r="E316" i="2"/>
  <c r="E317" i="2"/>
  <c r="E319" i="2"/>
  <c r="E320" i="2"/>
  <c r="E321" i="2"/>
  <c r="E322" i="2"/>
  <c r="E323" i="2"/>
  <c r="E324" i="2"/>
  <c r="E325" i="2"/>
  <c r="E326" i="2"/>
  <c r="E327" i="2"/>
  <c r="E329" i="2"/>
  <c r="E330" i="2"/>
  <c r="E331" i="2"/>
  <c r="E332" i="2"/>
  <c r="E333" i="2"/>
  <c r="E334" i="2"/>
  <c r="E335" i="2"/>
  <c r="E336" i="2"/>
  <c r="E337" i="2"/>
  <c r="E338" i="2"/>
  <c r="E339" i="2"/>
  <c r="E340" i="2"/>
  <c r="E341" i="2"/>
  <c r="E342" i="2"/>
  <c r="E343" i="2"/>
  <c r="E344" i="2"/>
  <c r="E345" i="2"/>
  <c r="E346" i="2"/>
  <c r="E347" i="2"/>
  <c r="E349" i="2"/>
  <c r="E350" i="2"/>
  <c r="E351" i="2"/>
  <c r="E352" i="2"/>
  <c r="E353" i="2"/>
  <c r="E354" i="2"/>
  <c r="E355" i="2"/>
  <c r="E356" i="2"/>
  <c r="E358" i="2"/>
  <c r="E359" i="2"/>
  <c r="E360" i="2"/>
  <c r="E361" i="2"/>
  <c r="E362" i="2"/>
  <c r="E363" i="2"/>
  <c r="E364" i="2"/>
  <c r="E365" i="2"/>
  <c r="E366" i="2"/>
  <c r="E367" i="2"/>
  <c r="E368" i="2"/>
  <c r="E370" i="2"/>
  <c r="E373" i="2"/>
  <c r="E374" i="2"/>
  <c r="E375" i="2"/>
  <c r="E376" i="2"/>
  <c r="E377" i="2"/>
  <c r="E378" i="2"/>
  <c r="E379" i="2"/>
  <c r="E380" i="2"/>
  <c r="E381" i="2"/>
  <c r="E382" i="2"/>
  <c r="E383" i="2"/>
  <c r="E384" i="2"/>
  <c r="E385" i="2"/>
  <c r="E386" i="2"/>
  <c r="E388" i="2"/>
  <c r="E389" i="2"/>
  <c r="E390" i="2"/>
  <c r="E392" i="2"/>
  <c r="E393" i="2"/>
  <c r="E394" i="2"/>
  <c r="E395" i="2"/>
  <c r="E396" i="2"/>
  <c r="E397" i="2"/>
  <c r="E398" i="2"/>
  <c r="E399" i="2"/>
  <c r="E400" i="2"/>
  <c r="E402" i="2"/>
  <c r="E403" i="2"/>
  <c r="E404" i="2"/>
  <c r="E405" i="2"/>
  <c r="E406" i="2"/>
  <c r="E407" i="2"/>
  <c r="E103" i="2"/>
  <c r="E105" i="2"/>
  <c r="E107" i="2"/>
  <c r="E109" i="2"/>
  <c r="E111" i="2"/>
  <c r="E113" i="2"/>
  <c r="E115" i="2"/>
  <c r="E117" i="2"/>
  <c r="E119" i="2"/>
  <c r="E121" i="2"/>
  <c r="E123" i="2"/>
  <c r="E125" i="2"/>
  <c r="E127" i="2"/>
  <c r="E129" i="2"/>
  <c r="E131" i="2"/>
  <c r="E133" i="2"/>
  <c r="E135" i="2"/>
  <c r="E137" i="2"/>
  <c r="E139" i="2"/>
  <c r="E141" i="2"/>
  <c r="E143" i="2"/>
  <c r="E145" i="2"/>
  <c r="E151" i="2"/>
  <c r="E152" i="2"/>
  <c r="E153" i="2"/>
  <c r="E155" i="2"/>
  <c r="E163" i="2"/>
  <c r="E167" i="2"/>
  <c r="E174" i="2"/>
  <c r="E184" i="2"/>
  <c r="E203" i="2"/>
  <c r="E212" i="2"/>
  <c r="E215" i="2"/>
  <c r="E217" i="2"/>
  <c r="E218" i="2"/>
  <c r="E220" i="2"/>
  <c r="E224" i="2"/>
  <c r="E227" i="2"/>
  <c r="E264" i="2"/>
  <c r="E265" i="2"/>
  <c r="E285" i="2"/>
  <c r="E293" i="2"/>
  <c r="E294" i="2"/>
  <c r="E296" i="2"/>
  <c r="E298" i="2"/>
  <c r="E299" i="2"/>
  <c r="E318" i="2"/>
  <c r="E328" i="2"/>
  <c r="E348" i="2"/>
  <c r="E357" i="2"/>
  <c r="E369" i="2"/>
  <c r="E371" i="2"/>
  <c r="E372" i="2"/>
  <c r="E387" i="2"/>
  <c r="E391" i="2"/>
  <c r="E401" i="2"/>
  <c r="E408" i="2"/>
  <c r="E410" i="2"/>
  <c r="E413" i="2"/>
  <c r="E414" i="2"/>
  <c r="E416" i="2"/>
  <c r="E418" i="2"/>
  <c r="E421" i="2"/>
  <c r="E423" i="2"/>
  <c r="E424" i="2"/>
  <c r="E425" i="2"/>
  <c r="E426" i="2"/>
  <c r="E427" i="2"/>
  <c r="E428" i="2"/>
  <c r="E429" i="2"/>
  <c r="E430" i="2"/>
  <c r="E431" i="2"/>
  <c r="E432" i="2"/>
  <c r="E434" i="2"/>
  <c r="E435" i="2"/>
  <c r="E436" i="2"/>
  <c r="E437" i="2"/>
  <c r="E438" i="2"/>
  <c r="E439" i="2"/>
  <c r="E440" i="2"/>
  <c r="E441" i="2"/>
  <c r="E442" i="2"/>
  <c r="E443" i="2"/>
  <c r="E445" i="2"/>
  <c r="E447" i="2"/>
  <c r="E449" i="2"/>
  <c r="E450" i="2"/>
  <c r="E451" i="2"/>
  <c r="E452" i="2"/>
  <c r="E453" i="2"/>
  <c r="E454" i="2"/>
  <c r="E456" i="2"/>
  <c r="E457" i="2"/>
  <c r="E458" i="2"/>
  <c r="E459" i="2"/>
  <c r="E460" i="2"/>
  <c r="E461" i="2"/>
  <c r="E462" i="2"/>
  <c r="E463" i="2"/>
  <c r="E464" i="2"/>
  <c r="E465" i="2"/>
  <c r="E466" i="2"/>
  <c r="E467" i="2"/>
  <c r="E468" i="2"/>
  <c r="E469" i="2"/>
  <c r="E470" i="2"/>
  <c r="E471" i="2"/>
  <c r="E473" i="2"/>
  <c r="E474" i="2"/>
  <c r="E475" i="2"/>
  <c r="E476" i="2"/>
  <c r="E477" i="2"/>
  <c r="E478" i="2"/>
  <c r="E479"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7" i="2"/>
  <c r="E508" i="2"/>
  <c r="E509" i="2"/>
  <c r="E510" i="2"/>
  <c r="E511" i="2"/>
  <c r="E512" i="2"/>
  <c r="E514" i="2"/>
  <c r="E515" i="2"/>
  <c r="E517" i="2"/>
  <c r="E518" i="2"/>
  <c r="E519" i="2"/>
  <c r="E520" i="2"/>
  <c r="E522" i="2"/>
  <c r="E524" i="2"/>
  <c r="E526" i="2"/>
  <c r="E528" i="2"/>
  <c r="E529" i="2"/>
  <c r="E530"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2" i="2"/>
  <c r="E574" i="2"/>
  <c r="E575" i="2"/>
  <c r="E576" i="2"/>
  <c r="E577" i="2"/>
  <c r="E578" i="2"/>
  <c r="E579" i="2"/>
  <c r="E580" i="2"/>
  <c r="E581" i="2"/>
  <c r="E582" i="2"/>
  <c r="E583" i="2"/>
  <c r="E584" i="2"/>
  <c r="E585" i="2"/>
  <c r="E586" i="2"/>
  <c r="E587" i="2"/>
  <c r="E590" i="2"/>
  <c r="E591" i="2"/>
  <c r="E592" i="2"/>
  <c r="E593" i="2"/>
  <c r="E594" i="2"/>
  <c r="E595" i="2"/>
  <c r="E596" i="2"/>
  <c r="E597" i="2"/>
  <c r="E600" i="2"/>
  <c r="E601" i="2"/>
  <c r="E609" i="2"/>
  <c r="E610" i="2"/>
  <c r="E611" i="2"/>
  <c r="E616" i="2"/>
  <c r="E617" i="2"/>
  <c r="E618" i="2"/>
  <c r="E619" i="2"/>
  <c r="E620" i="2"/>
  <c r="E621" i="2"/>
  <c r="E622" i="2"/>
  <c r="E623" i="2"/>
  <c r="E624" i="2"/>
  <c r="E625" i="2"/>
  <c r="E626" i="2"/>
  <c r="E627" i="2"/>
  <c r="E628" i="2"/>
  <c r="E629" i="2"/>
  <c r="E630" i="2"/>
  <c r="E631" i="2"/>
  <c r="E632" i="2"/>
  <c r="E633" i="2"/>
  <c r="E634" i="2"/>
  <c r="E636" i="2"/>
  <c r="E637" i="2"/>
  <c r="E638" i="2"/>
  <c r="E639" i="2"/>
  <c r="E640" i="2"/>
  <c r="E641" i="2"/>
  <c r="E642" i="2"/>
  <c r="E643" i="2"/>
  <c r="E644" i="2"/>
  <c r="E645" i="2"/>
  <c r="E646" i="2"/>
  <c r="E647" i="2"/>
  <c r="E648" i="2"/>
  <c r="E649" i="2"/>
  <c r="E650" i="2"/>
  <c r="E651" i="2"/>
  <c r="E652" i="2"/>
  <c r="E653" i="2"/>
  <c r="E657" i="2"/>
  <c r="E658" i="2"/>
  <c r="E659" i="2"/>
  <c r="E660" i="2"/>
  <c r="E661" i="2"/>
  <c r="E662" i="2"/>
  <c r="E663" i="2"/>
  <c r="E664" i="2"/>
  <c r="E665" i="2"/>
  <c r="E666" i="2"/>
  <c r="E667" i="2"/>
  <c r="E668" i="2"/>
  <c r="E669" i="2"/>
  <c r="E670" i="2"/>
  <c r="E672" i="2"/>
  <c r="E674" i="2"/>
  <c r="E675" i="2"/>
  <c r="E676" i="2"/>
  <c r="E677" i="2"/>
  <c r="E681" i="2"/>
  <c r="E683" i="2"/>
  <c r="E684" i="2"/>
  <c r="E685" i="2"/>
  <c r="E686" i="2"/>
  <c r="E687" i="2"/>
  <c r="E688" i="2"/>
  <c r="E690" i="2"/>
  <c r="E691" i="2"/>
  <c r="E692" i="2"/>
  <c r="E693" i="2"/>
  <c r="E694" i="2"/>
  <c r="E695" i="2"/>
  <c r="E696" i="2"/>
  <c r="E697" i="2"/>
  <c r="E699" i="2"/>
  <c r="E700" i="2"/>
  <c r="E701" i="2"/>
  <c r="E702" i="2"/>
  <c r="E703" i="2"/>
  <c r="E704" i="2"/>
  <c r="E705" i="2"/>
  <c r="E706" i="2"/>
  <c r="E707" i="2"/>
  <c r="E708" i="2"/>
  <c r="E709" i="2"/>
  <c r="E710" i="2"/>
  <c r="E712" i="2"/>
  <c r="E713" i="2"/>
  <c r="E714" i="2"/>
  <c r="E715" i="2"/>
  <c r="E716" i="2"/>
  <c r="E717" i="2"/>
  <c r="E718" i="2"/>
  <c r="E719" i="2"/>
  <c r="E720" i="2"/>
  <c r="E721" i="2"/>
  <c r="E722" i="2"/>
  <c r="E723" i="2"/>
  <c r="E724" i="2"/>
  <c r="E727" i="2"/>
  <c r="E728" i="2"/>
  <c r="E729" i="2"/>
  <c r="E730" i="2"/>
  <c r="E731" i="2"/>
  <c r="E732" i="2"/>
  <c r="E734" i="2"/>
  <c r="E735" i="2"/>
  <c r="E736" i="2"/>
  <c r="E737" i="2"/>
  <c r="E738" i="2"/>
  <c r="E739" i="2"/>
  <c r="E740" i="2"/>
  <c r="E741" i="2"/>
  <c r="E742" i="2"/>
  <c r="E744" i="2"/>
  <c r="E745" i="2"/>
  <c r="E746" i="2"/>
  <c r="E748" i="2"/>
  <c r="E750" i="2"/>
  <c r="E752" i="2"/>
  <c r="E753" i="2"/>
  <c r="E754" i="2"/>
  <c r="E755" i="2"/>
  <c r="E756" i="2"/>
  <c r="E757" i="2"/>
  <c r="E758" i="2"/>
  <c r="E759" i="2"/>
  <c r="E760" i="2"/>
  <c r="E761" i="2"/>
  <c r="E762" i="2"/>
  <c r="E763" i="2"/>
  <c r="E764" i="2"/>
  <c r="E765" i="2"/>
  <c r="E766" i="2"/>
  <c r="E767" i="2"/>
  <c r="E768" i="2"/>
  <c r="E769" i="2"/>
  <c r="E770" i="2"/>
  <c r="E771" i="2"/>
  <c r="E773" i="2"/>
  <c r="E774" i="2"/>
  <c r="E775" i="2"/>
  <c r="E776" i="2"/>
  <c r="E777" i="2"/>
  <c r="E779" i="2"/>
  <c r="E780" i="2"/>
  <c r="E781" i="2"/>
  <c r="E782" i="2"/>
  <c r="E783" i="2"/>
  <c r="E784" i="2"/>
  <c r="E785" i="2"/>
  <c r="E786" i="2"/>
  <c r="E787" i="2"/>
  <c r="E788" i="2"/>
  <c r="E790" i="2"/>
  <c r="E791" i="2"/>
  <c r="E792" i="2"/>
  <c r="E793" i="2"/>
  <c r="E794" i="2"/>
  <c r="E795" i="2"/>
  <c r="E796" i="2"/>
  <c r="E797" i="2"/>
  <c r="E798" i="2"/>
  <c r="E799" i="2"/>
  <c r="E801" i="2"/>
  <c r="E802" i="2"/>
  <c r="E803" i="2"/>
  <c r="E805" i="2"/>
  <c r="E806" i="2"/>
  <c r="E807" i="2"/>
  <c r="E808" i="2"/>
  <c r="E809" i="2"/>
  <c r="E810" i="2"/>
  <c r="E813" i="2"/>
  <c r="E814" i="2"/>
  <c r="E815" i="2"/>
  <c r="E816" i="2"/>
  <c r="E817" i="2"/>
  <c r="E818" i="2"/>
  <c r="E819" i="2"/>
  <c r="E820" i="2"/>
  <c r="E821" i="2"/>
  <c r="E823" i="2"/>
  <c r="E825" i="2"/>
  <c r="E826"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5" i="2"/>
  <c r="E856" i="2"/>
  <c r="E857" i="2"/>
  <c r="E858" i="2"/>
  <c r="E859" i="2"/>
  <c r="E860" i="2"/>
  <c r="E861" i="2"/>
  <c r="E862" i="2"/>
  <c r="E863" i="2"/>
  <c r="E864" i="2"/>
  <c r="E865" i="2"/>
  <c r="E866" i="2"/>
  <c r="E867" i="2"/>
  <c r="E868" i="2"/>
  <c r="E869"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7" i="2"/>
  <c r="E898" i="2"/>
  <c r="E900" i="2"/>
  <c r="E901" i="2"/>
  <c r="E903" i="2"/>
  <c r="E904" i="2"/>
  <c r="E905" i="2"/>
  <c r="E906" i="2"/>
  <c r="E907" i="2"/>
  <c r="E908" i="2"/>
  <c r="E909" i="2"/>
  <c r="E910" i="2"/>
  <c r="E911" i="2"/>
  <c r="E912" i="2"/>
  <c r="E913" i="2"/>
  <c r="E915" i="2"/>
  <c r="E916" i="2"/>
  <c r="E917" i="2"/>
  <c r="E918" i="2"/>
  <c r="E919" i="2"/>
  <c r="E920" i="2"/>
  <c r="E921" i="2"/>
  <c r="E922" i="2"/>
  <c r="E923" i="2"/>
  <c r="E924" i="2"/>
  <c r="E925" i="2"/>
  <c r="E926" i="2"/>
  <c r="E927" i="2"/>
  <c r="E928" i="2"/>
  <c r="E929" i="2"/>
  <c r="E930" i="2"/>
  <c r="E931" i="2"/>
  <c r="E932" i="2"/>
  <c r="E933" i="2"/>
  <c r="E934" i="2"/>
  <c r="E936" i="2"/>
  <c r="E937" i="2"/>
  <c r="E938" i="2"/>
  <c r="E939" i="2"/>
  <c r="E941" i="2"/>
  <c r="E942" i="2"/>
  <c r="E943" i="2"/>
  <c r="E944" i="2"/>
  <c r="E945" i="2"/>
  <c r="E946" i="2"/>
  <c r="E947" i="2"/>
  <c r="E948" i="2"/>
  <c r="E949" i="2"/>
  <c r="E950" i="2"/>
  <c r="E951" i="2"/>
  <c r="E952" i="2"/>
  <c r="E953" i="2"/>
  <c r="E954" i="2"/>
  <c r="E955" i="2"/>
  <c r="E956" i="2"/>
  <c r="E958" i="2"/>
  <c r="E959" i="2"/>
  <c r="E960" i="2"/>
  <c r="E961" i="2"/>
  <c r="E962" i="2"/>
  <c r="E963" i="2"/>
  <c r="E964" i="2"/>
  <c r="E965" i="2"/>
  <c r="E966" i="2"/>
  <c r="E967" i="2"/>
  <c r="E968" i="2"/>
  <c r="E969" i="2"/>
  <c r="E971" i="2"/>
  <c r="E972" i="2"/>
  <c r="E974" i="2"/>
  <c r="E975" i="2"/>
  <c r="E976" i="2"/>
  <c r="E979" i="2"/>
  <c r="E981" i="2"/>
  <c r="E982" i="2"/>
  <c r="E983" i="2"/>
  <c r="E409" i="2"/>
  <c r="E411" i="2"/>
  <c r="E412" i="2"/>
  <c r="E415" i="2"/>
  <c r="E417" i="2"/>
  <c r="E419" i="2"/>
  <c r="E420" i="2"/>
  <c r="E422" i="2"/>
  <c r="E433" i="2"/>
  <c r="E444" i="2"/>
  <c r="E446" i="2"/>
  <c r="E448" i="2"/>
  <c r="E455" i="2"/>
  <c r="E472" i="2"/>
  <c r="E480" i="2"/>
  <c r="E506" i="2"/>
  <c r="E513" i="2"/>
  <c r="E516" i="2"/>
  <c r="E521" i="2"/>
  <c r="E523" i="2"/>
  <c r="E525" i="2"/>
  <c r="E527" i="2"/>
  <c r="E531" i="2"/>
  <c r="E532" i="2"/>
  <c r="E571" i="2"/>
  <c r="E573" i="2"/>
  <c r="E588" i="2"/>
  <c r="E589" i="2"/>
  <c r="E598" i="2"/>
  <c r="E599" i="2"/>
  <c r="E602" i="2"/>
  <c r="E603" i="2"/>
  <c r="E604" i="2"/>
  <c r="E605" i="2"/>
  <c r="E606" i="2"/>
  <c r="E607" i="2"/>
  <c r="E608" i="2"/>
  <c r="E612" i="2"/>
  <c r="E613" i="2"/>
  <c r="E614" i="2"/>
  <c r="E615" i="2"/>
  <c r="E635" i="2"/>
  <c r="E654" i="2"/>
  <c r="E655" i="2"/>
  <c r="E656" i="2"/>
  <c r="E671" i="2"/>
  <c r="E673" i="2"/>
  <c r="E678" i="2"/>
  <c r="E679" i="2"/>
  <c r="E680" i="2"/>
  <c r="E682" i="2"/>
  <c r="E689" i="2"/>
  <c r="E698" i="2"/>
  <c r="E711" i="2"/>
  <c r="E725" i="2"/>
  <c r="E726" i="2"/>
  <c r="E733" i="2"/>
  <c r="E743" i="2"/>
  <c r="E747" i="2"/>
  <c r="E749" i="2"/>
  <c r="E751" i="2"/>
  <c r="E772" i="2"/>
  <c r="E778" i="2"/>
  <c r="E789" i="2"/>
  <c r="E800" i="2"/>
  <c r="E804" i="2"/>
  <c r="E811" i="2"/>
  <c r="E812" i="2"/>
  <c r="E822" i="2"/>
  <c r="E824" i="2"/>
  <c r="E827" i="2"/>
  <c r="E854" i="2"/>
  <c r="E870" i="2"/>
  <c r="E896" i="2"/>
  <c r="E899" i="2"/>
  <c r="E902" i="2"/>
  <c r="E914" i="2"/>
  <c r="E935" i="2"/>
  <c r="E940" i="2"/>
  <c r="E957" i="2"/>
  <c r="E970" i="2"/>
  <c r="E973" i="2"/>
  <c r="E978" i="2"/>
  <c r="E987" i="2"/>
  <c r="E977" i="2"/>
  <c r="E980" i="2"/>
  <c r="E984" i="2"/>
  <c r="E985" i="2"/>
  <c r="E986" i="2"/>
  <c r="E988" i="2"/>
  <c r="E989" i="2"/>
  <c r="E990" i="2"/>
  <c r="E991" i="2"/>
  <c r="E992" i="2"/>
  <c r="E993" i="2"/>
  <c r="E994" i="2"/>
  <c r="E995" i="2"/>
  <c r="E996" i="2"/>
  <c r="E997" i="2"/>
  <c r="E998" i="2"/>
  <c r="E999" i="2"/>
  <c r="E1000" i="2"/>
  <c r="E1001" i="2"/>
  <c r="E1002"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3" i="2"/>
  <c r="F3" i="2" s="1"/>
  <c r="D33" i="1"/>
  <c r="D35" i="1" s="1"/>
  <c r="A37" i="1" s="1"/>
  <c r="F101" i="2" l="1"/>
  <c r="G101" i="2" s="1"/>
  <c r="F97" i="2"/>
  <c r="G97" i="2" s="1"/>
  <c r="F93" i="2"/>
  <c r="G93" i="2" s="1"/>
  <c r="F89" i="2"/>
  <c r="G89" i="2" s="1"/>
  <c r="F85" i="2"/>
  <c r="G85" i="2" s="1"/>
  <c r="F81" i="2"/>
  <c r="G81" i="2" s="1"/>
  <c r="F77" i="2"/>
  <c r="G77" i="2" s="1"/>
  <c r="F73" i="2"/>
  <c r="G73" i="2" s="1"/>
  <c r="F69" i="2"/>
  <c r="G69" i="2" s="1"/>
  <c r="F65" i="2"/>
  <c r="G65" i="2" s="1"/>
  <c r="F61" i="2"/>
  <c r="G61" i="2" s="1"/>
  <c r="F57" i="2"/>
  <c r="G57" i="2" s="1"/>
  <c r="F55" i="2"/>
  <c r="G55" i="2" s="1"/>
  <c r="F51" i="2"/>
  <c r="G51" i="2" s="1"/>
  <c r="F47" i="2"/>
  <c r="G47" i="2" s="1"/>
  <c r="F43" i="2"/>
  <c r="G43" i="2" s="1"/>
  <c r="F39" i="2"/>
  <c r="G39" i="2" s="1"/>
  <c r="F37" i="2"/>
  <c r="G37" i="2" s="1"/>
  <c r="F33" i="2"/>
  <c r="G33" i="2" s="1"/>
  <c r="F27" i="2"/>
  <c r="G27" i="2" s="1"/>
  <c r="F25" i="2"/>
  <c r="G25" i="2" s="1"/>
  <c r="F21" i="2"/>
  <c r="G21" i="2" s="1"/>
  <c r="F17" i="2"/>
  <c r="G17" i="2" s="1"/>
  <c r="F13" i="2"/>
  <c r="G13" i="2" s="1"/>
  <c r="F9" i="2"/>
  <c r="G9" i="2" s="1"/>
  <c r="F5" i="2"/>
  <c r="G5" i="2" s="1"/>
  <c r="F1000" i="2"/>
  <c r="G1000" i="2" s="1"/>
  <c r="F998" i="2"/>
  <c r="G998" i="2" s="1"/>
  <c r="F994" i="2"/>
  <c r="G994" i="2" s="1"/>
  <c r="F990" i="2"/>
  <c r="G990" i="2" s="1"/>
  <c r="F985" i="2"/>
  <c r="G985" i="2" s="1"/>
  <c r="F987" i="2"/>
  <c r="G987" i="2" s="1"/>
  <c r="F957" i="2"/>
  <c r="G957" i="2" s="1"/>
  <c r="F902" i="2"/>
  <c r="G902" i="2" s="1"/>
  <c r="F854" i="2"/>
  <c r="G854" i="2" s="1"/>
  <c r="F804" i="2"/>
  <c r="G804" i="2" s="1"/>
  <c r="F772" i="2"/>
  <c r="G772" i="2" s="1"/>
  <c r="F743" i="2"/>
  <c r="G743" i="2" s="1"/>
  <c r="F711" i="2"/>
  <c r="G711" i="2" s="1"/>
  <c r="F680" i="2"/>
  <c r="G680" i="2" s="1"/>
  <c r="F671" i="2"/>
  <c r="G671" i="2" s="1"/>
  <c r="F635" i="2"/>
  <c r="G635" i="2" s="1"/>
  <c r="F612" i="2"/>
  <c r="G612" i="2" s="1"/>
  <c r="F605" i="2"/>
  <c r="G605" i="2" s="1"/>
  <c r="F599" i="2"/>
  <c r="G599" i="2" s="1"/>
  <c r="F573" i="2"/>
  <c r="G573" i="2" s="1"/>
  <c r="F527" i="2"/>
  <c r="G527" i="2" s="1"/>
  <c r="F444" i="2"/>
  <c r="G444" i="2" s="1"/>
  <c r="F102" i="2"/>
  <c r="G102" i="2" s="1"/>
  <c r="F100" i="2"/>
  <c r="G100" i="2" s="1"/>
  <c r="F98" i="2"/>
  <c r="G98" i="2" s="1"/>
  <c r="F96" i="2"/>
  <c r="G96" i="2" s="1"/>
  <c r="F94" i="2"/>
  <c r="G94" i="2" s="1"/>
  <c r="F92" i="2"/>
  <c r="G92" i="2" s="1"/>
  <c r="F90" i="2"/>
  <c r="G90" i="2" s="1"/>
  <c r="F88" i="2"/>
  <c r="G88" i="2" s="1"/>
  <c r="F86" i="2"/>
  <c r="G86" i="2" s="1"/>
  <c r="F84" i="2"/>
  <c r="G84" i="2" s="1"/>
  <c r="F82" i="2"/>
  <c r="G82" i="2" s="1"/>
  <c r="F80" i="2"/>
  <c r="G80" i="2" s="1"/>
  <c r="F78" i="2"/>
  <c r="G78" i="2" s="1"/>
  <c r="F76" i="2"/>
  <c r="G76" i="2" s="1"/>
  <c r="F74" i="2"/>
  <c r="G74" i="2" s="1"/>
  <c r="F72" i="2"/>
  <c r="G72" i="2" s="1"/>
  <c r="F70" i="2"/>
  <c r="G70" i="2" s="1"/>
  <c r="F68" i="2"/>
  <c r="G68" i="2" s="1"/>
  <c r="F66" i="2"/>
  <c r="G66" i="2" s="1"/>
  <c r="F64" i="2"/>
  <c r="G64" i="2" s="1"/>
  <c r="F62" i="2"/>
  <c r="G62" i="2" s="1"/>
  <c r="F60" i="2"/>
  <c r="G60" i="2" s="1"/>
  <c r="F58" i="2"/>
  <c r="G58" i="2" s="1"/>
  <c r="F56" i="2"/>
  <c r="G56" i="2" s="1"/>
  <c r="F54" i="2"/>
  <c r="G54" i="2" s="1"/>
  <c r="F52" i="2"/>
  <c r="G52" i="2" s="1"/>
  <c r="F50" i="2"/>
  <c r="G50" i="2" s="1"/>
  <c r="F48" i="2"/>
  <c r="G48" i="2" s="1"/>
  <c r="F46" i="2"/>
  <c r="G46" i="2" s="1"/>
  <c r="F44" i="2"/>
  <c r="G44" i="2" s="1"/>
  <c r="F42" i="2"/>
  <c r="G42" i="2" s="1"/>
  <c r="F40" i="2"/>
  <c r="G40" i="2" s="1"/>
  <c r="F38" i="2"/>
  <c r="G38" i="2" s="1"/>
  <c r="F36" i="2"/>
  <c r="G36" i="2" s="1"/>
  <c r="F34" i="2"/>
  <c r="G34" i="2" s="1"/>
  <c r="F32" i="2"/>
  <c r="G32" i="2" s="1"/>
  <c r="F30" i="2"/>
  <c r="G30" i="2" s="1"/>
  <c r="F28" i="2"/>
  <c r="G28" i="2" s="1"/>
  <c r="F26" i="2"/>
  <c r="G26" i="2" s="1"/>
  <c r="F24" i="2"/>
  <c r="G24" i="2" s="1"/>
  <c r="F22" i="2"/>
  <c r="G22" i="2" s="1"/>
  <c r="F20" i="2"/>
  <c r="G20" i="2" s="1"/>
  <c r="F18" i="2"/>
  <c r="G18" i="2" s="1"/>
  <c r="F16" i="2"/>
  <c r="G16" i="2" s="1"/>
  <c r="F14" i="2"/>
  <c r="G14" i="2" s="1"/>
  <c r="F12" i="2"/>
  <c r="G12" i="2" s="1"/>
  <c r="F10" i="2"/>
  <c r="G10" i="2" s="1"/>
  <c r="F8" i="2"/>
  <c r="G8" i="2" s="1"/>
  <c r="F6" i="2"/>
  <c r="G6" i="2" s="1"/>
  <c r="F4" i="2"/>
  <c r="G4" i="2" s="1"/>
  <c r="F1001" i="2"/>
  <c r="G1001" i="2" s="1"/>
  <c r="F999" i="2"/>
  <c r="G999" i="2" s="1"/>
  <c r="F997" i="2"/>
  <c r="G997" i="2" s="1"/>
  <c r="F995" i="2"/>
  <c r="G995" i="2" s="1"/>
  <c r="F993" i="2"/>
  <c r="G993" i="2" s="1"/>
  <c r="F991" i="2"/>
  <c r="G991" i="2" s="1"/>
  <c r="F989" i="2"/>
  <c r="G989" i="2" s="1"/>
  <c r="F986" i="2"/>
  <c r="G986" i="2" s="1"/>
  <c r="F984" i="2"/>
  <c r="G984" i="2" s="1"/>
  <c r="F977" i="2"/>
  <c r="G977" i="2" s="1"/>
  <c r="F978" i="2"/>
  <c r="G978" i="2" s="1"/>
  <c r="F970" i="2"/>
  <c r="G970" i="2" s="1"/>
  <c r="F940" i="2"/>
  <c r="G940" i="2" s="1"/>
  <c r="F914" i="2"/>
  <c r="G914" i="2" s="1"/>
  <c r="F899" i="2"/>
  <c r="G899" i="2" s="1"/>
  <c r="F870" i="2"/>
  <c r="G870" i="2" s="1"/>
  <c r="F827" i="2"/>
  <c r="G827" i="2" s="1"/>
  <c r="F822" i="2"/>
  <c r="G822" i="2" s="1"/>
  <c r="F811" i="2"/>
  <c r="G811" i="2" s="1"/>
  <c r="F800" i="2"/>
  <c r="G800" i="2" s="1"/>
  <c r="F778" i="2"/>
  <c r="G778" i="2" s="1"/>
  <c r="F751" i="2"/>
  <c r="G751" i="2" s="1"/>
  <c r="F747" i="2"/>
  <c r="G747" i="2" s="1"/>
  <c r="F733" i="2"/>
  <c r="G733" i="2" s="1"/>
  <c r="F725" i="2"/>
  <c r="G725" i="2" s="1"/>
  <c r="F698" i="2"/>
  <c r="G698" i="2" s="1"/>
  <c r="F682" i="2"/>
  <c r="G682" i="2" s="1"/>
  <c r="F679" i="2"/>
  <c r="G679" i="2" s="1"/>
  <c r="F673" i="2"/>
  <c r="G673" i="2" s="1"/>
  <c r="F656" i="2"/>
  <c r="G656" i="2" s="1"/>
  <c r="F654" i="2"/>
  <c r="G654" i="2" s="1"/>
  <c r="F615" i="2"/>
  <c r="G615" i="2" s="1"/>
  <c r="F613" i="2"/>
  <c r="G613" i="2" s="1"/>
  <c r="F608" i="2"/>
  <c r="G608" i="2" s="1"/>
  <c r="F606" i="2"/>
  <c r="G606" i="2" s="1"/>
  <c r="F604" i="2"/>
  <c r="G604" i="2" s="1"/>
  <c r="F602" i="2"/>
  <c r="G602" i="2" s="1"/>
  <c r="F598" i="2"/>
  <c r="G598" i="2" s="1"/>
  <c r="F588" i="2"/>
  <c r="G588" i="2" s="1"/>
  <c r="F571" i="2"/>
  <c r="G571" i="2" s="1"/>
  <c r="F531" i="2"/>
  <c r="G531" i="2" s="1"/>
  <c r="F525" i="2"/>
  <c r="G525" i="2" s="1"/>
  <c r="F521" i="2"/>
  <c r="G521" i="2" s="1"/>
  <c r="F513" i="2"/>
  <c r="G513" i="2" s="1"/>
  <c r="F480" i="2"/>
  <c r="G480" i="2" s="1"/>
  <c r="F455" i="2"/>
  <c r="G455" i="2" s="1"/>
  <c r="F446" i="2"/>
  <c r="G446" i="2" s="1"/>
  <c r="F433" i="2"/>
  <c r="G433" i="2" s="1"/>
  <c r="F420" i="2"/>
  <c r="G420" i="2" s="1"/>
  <c r="F417" i="2"/>
  <c r="G417" i="2" s="1"/>
  <c r="F412" i="2"/>
  <c r="G412" i="2" s="1"/>
  <c r="F409" i="2"/>
  <c r="G409" i="2" s="1"/>
  <c r="F982" i="2"/>
  <c r="G982" i="2" s="1"/>
  <c r="F979" i="2"/>
  <c r="G979" i="2" s="1"/>
  <c r="F975" i="2"/>
  <c r="G975" i="2" s="1"/>
  <c r="F972" i="2"/>
  <c r="G972" i="2" s="1"/>
  <c r="F969" i="2"/>
  <c r="G969" i="2" s="1"/>
  <c r="F967" i="2"/>
  <c r="G967" i="2" s="1"/>
  <c r="F965" i="2"/>
  <c r="G965" i="2" s="1"/>
  <c r="F963" i="2"/>
  <c r="G963" i="2" s="1"/>
  <c r="F961" i="2"/>
  <c r="G961" i="2" s="1"/>
  <c r="F959" i="2"/>
  <c r="G959" i="2" s="1"/>
  <c r="F956" i="2"/>
  <c r="G956" i="2" s="1"/>
  <c r="F954" i="2"/>
  <c r="G954" i="2" s="1"/>
  <c r="F952" i="2"/>
  <c r="G952" i="2" s="1"/>
  <c r="F950" i="2"/>
  <c r="G950" i="2" s="1"/>
  <c r="F948" i="2"/>
  <c r="G948" i="2" s="1"/>
  <c r="F946" i="2"/>
  <c r="G946" i="2" s="1"/>
  <c r="F944" i="2"/>
  <c r="G944" i="2" s="1"/>
  <c r="F942" i="2"/>
  <c r="G942" i="2" s="1"/>
  <c r="F939" i="2"/>
  <c r="G939" i="2" s="1"/>
  <c r="F937" i="2"/>
  <c r="G937" i="2" s="1"/>
  <c r="F934" i="2"/>
  <c r="G934" i="2" s="1"/>
  <c r="F932" i="2"/>
  <c r="G932" i="2" s="1"/>
  <c r="F930" i="2"/>
  <c r="G930" i="2" s="1"/>
  <c r="F928" i="2"/>
  <c r="G928" i="2" s="1"/>
  <c r="F926" i="2"/>
  <c r="G926" i="2" s="1"/>
  <c r="F924" i="2"/>
  <c r="G924" i="2" s="1"/>
  <c r="F922" i="2"/>
  <c r="G922" i="2" s="1"/>
  <c r="F920" i="2"/>
  <c r="G920" i="2" s="1"/>
  <c r="F918" i="2"/>
  <c r="G918" i="2" s="1"/>
  <c r="F916" i="2"/>
  <c r="G916" i="2" s="1"/>
  <c r="F913" i="2"/>
  <c r="G913" i="2" s="1"/>
  <c r="F911" i="2"/>
  <c r="G911" i="2" s="1"/>
  <c r="F909" i="2"/>
  <c r="G909" i="2" s="1"/>
  <c r="F907" i="2"/>
  <c r="G907" i="2" s="1"/>
  <c r="F905" i="2"/>
  <c r="G905" i="2" s="1"/>
  <c r="F903" i="2"/>
  <c r="G903" i="2" s="1"/>
  <c r="F900" i="2"/>
  <c r="G900" i="2" s="1"/>
  <c r="F897" i="2"/>
  <c r="G897" i="2" s="1"/>
  <c r="F894" i="2"/>
  <c r="G894" i="2" s="1"/>
  <c r="F892" i="2"/>
  <c r="G892" i="2" s="1"/>
  <c r="F890" i="2"/>
  <c r="G890" i="2" s="1"/>
  <c r="F888" i="2"/>
  <c r="G888" i="2" s="1"/>
  <c r="F886" i="2"/>
  <c r="G886" i="2" s="1"/>
  <c r="F884" i="2"/>
  <c r="G884" i="2" s="1"/>
  <c r="F882" i="2"/>
  <c r="G882" i="2" s="1"/>
  <c r="F880" i="2"/>
  <c r="G880" i="2" s="1"/>
  <c r="F878" i="2"/>
  <c r="G878" i="2" s="1"/>
  <c r="F876" i="2"/>
  <c r="G876" i="2" s="1"/>
  <c r="F874" i="2"/>
  <c r="G874" i="2" s="1"/>
  <c r="F872" i="2"/>
  <c r="G872" i="2" s="1"/>
  <c r="F869" i="2"/>
  <c r="G869" i="2" s="1"/>
  <c r="F867" i="2"/>
  <c r="G867" i="2" s="1"/>
  <c r="F865" i="2"/>
  <c r="G865" i="2" s="1"/>
  <c r="F863" i="2"/>
  <c r="G863" i="2" s="1"/>
  <c r="F861" i="2"/>
  <c r="G861" i="2" s="1"/>
  <c r="F859" i="2"/>
  <c r="G859" i="2" s="1"/>
  <c r="F857" i="2"/>
  <c r="G857" i="2" s="1"/>
  <c r="F855" i="2"/>
  <c r="G855" i="2" s="1"/>
  <c r="F852" i="2"/>
  <c r="G852" i="2" s="1"/>
  <c r="F850" i="2"/>
  <c r="G850" i="2" s="1"/>
  <c r="F848" i="2"/>
  <c r="G848" i="2" s="1"/>
  <c r="F846" i="2"/>
  <c r="G846" i="2" s="1"/>
  <c r="F844" i="2"/>
  <c r="G844" i="2" s="1"/>
  <c r="F842" i="2"/>
  <c r="G842" i="2" s="1"/>
  <c r="F840" i="2"/>
  <c r="G840" i="2" s="1"/>
  <c r="F838" i="2"/>
  <c r="G838" i="2" s="1"/>
  <c r="F836" i="2"/>
  <c r="G836" i="2" s="1"/>
  <c r="F834" i="2"/>
  <c r="G834" i="2" s="1"/>
  <c r="F832" i="2"/>
  <c r="G832" i="2" s="1"/>
  <c r="F830" i="2"/>
  <c r="G830" i="2" s="1"/>
  <c r="F828" i="2"/>
  <c r="G828" i="2" s="1"/>
  <c r="F825" i="2"/>
  <c r="G825" i="2" s="1"/>
  <c r="F821" i="2"/>
  <c r="G821" i="2" s="1"/>
  <c r="F819" i="2"/>
  <c r="G819" i="2" s="1"/>
  <c r="F817" i="2"/>
  <c r="G817" i="2" s="1"/>
  <c r="F815" i="2"/>
  <c r="G815" i="2" s="1"/>
  <c r="F813" i="2"/>
  <c r="G813" i="2" s="1"/>
  <c r="F809" i="2"/>
  <c r="G809" i="2" s="1"/>
  <c r="F807" i="2"/>
  <c r="G807" i="2" s="1"/>
  <c r="F805" i="2"/>
  <c r="G805" i="2" s="1"/>
  <c r="F802" i="2"/>
  <c r="G802" i="2" s="1"/>
  <c r="F799" i="2"/>
  <c r="G799" i="2" s="1"/>
  <c r="F797" i="2"/>
  <c r="G797" i="2" s="1"/>
  <c r="F795" i="2"/>
  <c r="G795" i="2" s="1"/>
  <c r="F793" i="2"/>
  <c r="G793" i="2" s="1"/>
  <c r="F791" i="2"/>
  <c r="G791" i="2" s="1"/>
  <c r="F788" i="2"/>
  <c r="G788" i="2" s="1"/>
  <c r="F786" i="2"/>
  <c r="G786" i="2" s="1"/>
  <c r="F784" i="2"/>
  <c r="G784" i="2" s="1"/>
  <c r="F782" i="2"/>
  <c r="G782" i="2" s="1"/>
  <c r="F780" i="2"/>
  <c r="G780" i="2" s="1"/>
  <c r="F777" i="2"/>
  <c r="G777" i="2" s="1"/>
  <c r="F775" i="2"/>
  <c r="G775" i="2" s="1"/>
  <c r="F773" i="2"/>
  <c r="G773" i="2" s="1"/>
  <c r="F770" i="2"/>
  <c r="G770" i="2" s="1"/>
  <c r="F768" i="2"/>
  <c r="G768" i="2" s="1"/>
  <c r="F766" i="2"/>
  <c r="G766" i="2" s="1"/>
  <c r="F764" i="2"/>
  <c r="G764" i="2" s="1"/>
  <c r="F762" i="2"/>
  <c r="G762" i="2" s="1"/>
  <c r="F760" i="2"/>
  <c r="G760" i="2" s="1"/>
  <c r="F758" i="2"/>
  <c r="G758" i="2" s="1"/>
  <c r="F756" i="2"/>
  <c r="G756" i="2" s="1"/>
  <c r="F754" i="2"/>
  <c r="G754" i="2" s="1"/>
  <c r="F752" i="2"/>
  <c r="G752" i="2" s="1"/>
  <c r="F748" i="2"/>
  <c r="G748" i="2" s="1"/>
  <c r="F745" i="2"/>
  <c r="G745" i="2" s="1"/>
  <c r="F742" i="2"/>
  <c r="G742" i="2" s="1"/>
  <c r="F740" i="2"/>
  <c r="G740" i="2" s="1"/>
  <c r="F738" i="2"/>
  <c r="G738" i="2" s="1"/>
  <c r="F736" i="2"/>
  <c r="G736" i="2" s="1"/>
  <c r="F734" i="2"/>
  <c r="G734" i="2" s="1"/>
  <c r="F731" i="2"/>
  <c r="G731" i="2" s="1"/>
  <c r="F729" i="2"/>
  <c r="G729" i="2" s="1"/>
  <c r="F727" i="2"/>
  <c r="G727" i="2" s="1"/>
  <c r="F723" i="2"/>
  <c r="G723" i="2" s="1"/>
  <c r="F721" i="2"/>
  <c r="G721" i="2" s="1"/>
  <c r="F719" i="2"/>
  <c r="G719" i="2" s="1"/>
  <c r="F717" i="2"/>
  <c r="G717" i="2" s="1"/>
  <c r="F715" i="2"/>
  <c r="G715" i="2" s="1"/>
  <c r="F713" i="2"/>
  <c r="G713" i="2" s="1"/>
  <c r="F710" i="2"/>
  <c r="G710" i="2" s="1"/>
  <c r="F708" i="2"/>
  <c r="G708" i="2" s="1"/>
  <c r="F706" i="2"/>
  <c r="G706" i="2" s="1"/>
  <c r="F704" i="2"/>
  <c r="G704" i="2" s="1"/>
  <c r="F702" i="2"/>
  <c r="G702" i="2" s="1"/>
  <c r="F700" i="2"/>
  <c r="G700" i="2" s="1"/>
  <c r="F697" i="2"/>
  <c r="G697" i="2" s="1"/>
  <c r="F695" i="2"/>
  <c r="G695" i="2" s="1"/>
  <c r="F693" i="2"/>
  <c r="G693" i="2" s="1"/>
  <c r="F691" i="2"/>
  <c r="G691" i="2" s="1"/>
  <c r="F688" i="2"/>
  <c r="G688" i="2" s="1"/>
  <c r="F686" i="2"/>
  <c r="G686" i="2" s="1"/>
  <c r="F684" i="2"/>
  <c r="G684" i="2" s="1"/>
  <c r="F681" i="2"/>
  <c r="G681" i="2" s="1"/>
  <c r="F676" i="2"/>
  <c r="G676" i="2" s="1"/>
  <c r="F674" i="2"/>
  <c r="G674" i="2" s="1"/>
  <c r="F670" i="2"/>
  <c r="G670" i="2" s="1"/>
  <c r="F668" i="2"/>
  <c r="G668" i="2" s="1"/>
  <c r="F666" i="2"/>
  <c r="G666" i="2" s="1"/>
  <c r="F664" i="2"/>
  <c r="G664" i="2" s="1"/>
  <c r="F662" i="2"/>
  <c r="G662" i="2" s="1"/>
  <c r="F660" i="2"/>
  <c r="G660" i="2" s="1"/>
  <c r="F99" i="2"/>
  <c r="G99" i="2" s="1"/>
  <c r="F95" i="2"/>
  <c r="G95" i="2" s="1"/>
  <c r="F91" i="2"/>
  <c r="G91" i="2" s="1"/>
  <c r="F87" i="2"/>
  <c r="G87" i="2" s="1"/>
  <c r="F83" i="2"/>
  <c r="G83" i="2" s="1"/>
  <c r="F79" i="2"/>
  <c r="G79" i="2" s="1"/>
  <c r="F75" i="2"/>
  <c r="G75" i="2" s="1"/>
  <c r="F71" i="2"/>
  <c r="G71" i="2" s="1"/>
  <c r="F67" i="2"/>
  <c r="G67" i="2" s="1"/>
  <c r="F63" i="2"/>
  <c r="G63" i="2" s="1"/>
  <c r="F59" i="2"/>
  <c r="G59" i="2" s="1"/>
  <c r="F53" i="2"/>
  <c r="G53" i="2" s="1"/>
  <c r="F49" i="2"/>
  <c r="G49" i="2" s="1"/>
  <c r="F45" i="2"/>
  <c r="G45" i="2" s="1"/>
  <c r="F41" i="2"/>
  <c r="G41" i="2" s="1"/>
  <c r="F35" i="2"/>
  <c r="G35" i="2" s="1"/>
  <c r="F31" i="2"/>
  <c r="G31" i="2" s="1"/>
  <c r="F29" i="2"/>
  <c r="G29" i="2" s="1"/>
  <c r="F23" i="2"/>
  <c r="G23" i="2" s="1"/>
  <c r="F19" i="2"/>
  <c r="G19" i="2" s="1"/>
  <c r="F15" i="2"/>
  <c r="G15" i="2" s="1"/>
  <c r="F11" i="2"/>
  <c r="G11" i="2" s="1"/>
  <c r="F7" i="2"/>
  <c r="G7" i="2" s="1"/>
  <c r="F1002" i="2"/>
  <c r="G1002" i="2" s="1"/>
  <c r="F996" i="2"/>
  <c r="G996" i="2" s="1"/>
  <c r="F992" i="2"/>
  <c r="G992" i="2" s="1"/>
  <c r="F988" i="2"/>
  <c r="G988" i="2" s="1"/>
  <c r="F980" i="2"/>
  <c r="G980" i="2" s="1"/>
  <c r="F973" i="2"/>
  <c r="G973" i="2" s="1"/>
  <c r="F935" i="2"/>
  <c r="G935" i="2" s="1"/>
  <c r="F896" i="2"/>
  <c r="G896" i="2" s="1"/>
  <c r="F824" i="2"/>
  <c r="G824" i="2" s="1"/>
  <c r="F812" i="2"/>
  <c r="G812" i="2" s="1"/>
  <c r="F789" i="2"/>
  <c r="G789" i="2" s="1"/>
  <c r="F749" i="2"/>
  <c r="G749" i="2" s="1"/>
  <c r="F726" i="2"/>
  <c r="G726" i="2" s="1"/>
  <c r="F689" i="2"/>
  <c r="G689" i="2" s="1"/>
  <c r="F678" i="2"/>
  <c r="G678" i="2" s="1"/>
  <c r="F655" i="2"/>
  <c r="G655" i="2" s="1"/>
  <c r="F614" i="2"/>
  <c r="G614" i="2" s="1"/>
  <c r="F607" i="2"/>
  <c r="G607" i="2" s="1"/>
  <c r="F603" i="2"/>
  <c r="G603" i="2" s="1"/>
  <c r="F589" i="2"/>
  <c r="G589" i="2" s="1"/>
  <c r="F532" i="2"/>
  <c r="G532" i="2" s="1"/>
  <c r="F523" i="2"/>
  <c r="G523" i="2" s="1"/>
  <c r="F516" i="2"/>
  <c r="G516" i="2" s="1"/>
  <c r="F506" i="2"/>
  <c r="G506" i="2" s="1"/>
  <c r="F472" i="2"/>
  <c r="G472" i="2" s="1"/>
  <c r="F448" i="2"/>
  <c r="G448" i="2" s="1"/>
  <c r="F422" i="2"/>
  <c r="G422" i="2" s="1"/>
  <c r="F419" i="2"/>
  <c r="G419" i="2" s="1"/>
  <c r="F415" i="2"/>
  <c r="G415" i="2" s="1"/>
  <c r="F411" i="2"/>
  <c r="G411" i="2" s="1"/>
  <c r="F983" i="2"/>
  <c r="G983" i="2" s="1"/>
  <c r="F981" i="2"/>
  <c r="G981" i="2" s="1"/>
  <c r="F976" i="2"/>
  <c r="G976" i="2" s="1"/>
  <c r="F974" i="2"/>
  <c r="G974" i="2" s="1"/>
  <c r="F971" i="2"/>
  <c r="G971" i="2" s="1"/>
  <c r="F968" i="2"/>
  <c r="G968" i="2" s="1"/>
  <c r="F966" i="2"/>
  <c r="G966" i="2" s="1"/>
  <c r="F964" i="2"/>
  <c r="G964" i="2" s="1"/>
  <c r="F962" i="2"/>
  <c r="G962" i="2" s="1"/>
  <c r="F960" i="2"/>
  <c r="G960" i="2" s="1"/>
  <c r="F958" i="2"/>
  <c r="G958" i="2" s="1"/>
  <c r="F955" i="2"/>
  <c r="G955" i="2" s="1"/>
  <c r="F953" i="2"/>
  <c r="G953" i="2" s="1"/>
  <c r="F951" i="2"/>
  <c r="G951" i="2" s="1"/>
  <c r="F949" i="2"/>
  <c r="G949" i="2" s="1"/>
  <c r="F947" i="2"/>
  <c r="G947" i="2" s="1"/>
  <c r="F945" i="2"/>
  <c r="G945" i="2" s="1"/>
  <c r="F943" i="2"/>
  <c r="G943" i="2" s="1"/>
  <c r="F941" i="2"/>
  <c r="G941" i="2" s="1"/>
  <c r="F938" i="2"/>
  <c r="G938" i="2" s="1"/>
  <c r="F936" i="2"/>
  <c r="G936" i="2" s="1"/>
  <c r="F933" i="2"/>
  <c r="G933" i="2" s="1"/>
  <c r="F931" i="2"/>
  <c r="G931" i="2" s="1"/>
  <c r="F929" i="2"/>
  <c r="G929" i="2" s="1"/>
  <c r="F927" i="2"/>
  <c r="G927" i="2" s="1"/>
  <c r="F925" i="2"/>
  <c r="G925" i="2" s="1"/>
  <c r="F923" i="2"/>
  <c r="G923" i="2" s="1"/>
  <c r="F921" i="2"/>
  <c r="G921" i="2" s="1"/>
  <c r="F919" i="2"/>
  <c r="G919" i="2" s="1"/>
  <c r="F917" i="2"/>
  <c r="G917" i="2" s="1"/>
  <c r="F915" i="2"/>
  <c r="G915" i="2" s="1"/>
  <c r="F912" i="2"/>
  <c r="G912" i="2" s="1"/>
  <c r="F910" i="2"/>
  <c r="G910" i="2" s="1"/>
  <c r="F908" i="2"/>
  <c r="G908" i="2" s="1"/>
  <c r="F906" i="2"/>
  <c r="G906" i="2" s="1"/>
  <c r="F904" i="2"/>
  <c r="G904" i="2" s="1"/>
  <c r="F901" i="2"/>
  <c r="G901" i="2" s="1"/>
  <c r="F898" i="2"/>
  <c r="G898" i="2" s="1"/>
  <c r="F895" i="2"/>
  <c r="G895" i="2" s="1"/>
  <c r="F893" i="2"/>
  <c r="G893" i="2" s="1"/>
  <c r="F891" i="2"/>
  <c r="G891" i="2" s="1"/>
  <c r="F889" i="2"/>
  <c r="G889" i="2" s="1"/>
  <c r="F887" i="2"/>
  <c r="G887" i="2" s="1"/>
  <c r="F885" i="2"/>
  <c r="G885" i="2" s="1"/>
  <c r="F883" i="2"/>
  <c r="G883" i="2" s="1"/>
  <c r="F881" i="2"/>
  <c r="G881" i="2" s="1"/>
  <c r="F879" i="2"/>
  <c r="G879" i="2" s="1"/>
  <c r="F877" i="2"/>
  <c r="G877" i="2" s="1"/>
  <c r="F875" i="2"/>
  <c r="G875" i="2" s="1"/>
  <c r="F873" i="2"/>
  <c r="G873" i="2" s="1"/>
  <c r="F871" i="2"/>
  <c r="G871" i="2" s="1"/>
  <c r="F868" i="2"/>
  <c r="G868" i="2" s="1"/>
  <c r="F866" i="2"/>
  <c r="G866" i="2" s="1"/>
  <c r="F864" i="2"/>
  <c r="G864" i="2" s="1"/>
  <c r="F862" i="2"/>
  <c r="G862" i="2" s="1"/>
  <c r="F860" i="2"/>
  <c r="G860" i="2" s="1"/>
  <c r="F858" i="2"/>
  <c r="G858" i="2" s="1"/>
  <c r="F856" i="2"/>
  <c r="G856" i="2" s="1"/>
  <c r="F853" i="2"/>
  <c r="G853" i="2" s="1"/>
  <c r="F851" i="2"/>
  <c r="G851" i="2" s="1"/>
  <c r="F849" i="2"/>
  <c r="G849" i="2" s="1"/>
  <c r="F847" i="2"/>
  <c r="G847" i="2" s="1"/>
  <c r="F845" i="2"/>
  <c r="G845" i="2" s="1"/>
  <c r="F843" i="2"/>
  <c r="G843" i="2" s="1"/>
  <c r="F841" i="2"/>
  <c r="G841" i="2" s="1"/>
  <c r="F839" i="2"/>
  <c r="G839" i="2" s="1"/>
  <c r="F837" i="2"/>
  <c r="G837" i="2" s="1"/>
  <c r="F835" i="2"/>
  <c r="G835" i="2" s="1"/>
  <c r="F833" i="2"/>
  <c r="G833" i="2" s="1"/>
  <c r="F831" i="2"/>
  <c r="G831" i="2" s="1"/>
  <c r="F829" i="2"/>
  <c r="G829" i="2" s="1"/>
  <c r="F826" i="2"/>
  <c r="G826" i="2" s="1"/>
  <c r="F823" i="2"/>
  <c r="G823" i="2" s="1"/>
  <c r="F820" i="2"/>
  <c r="G820" i="2" s="1"/>
  <c r="F818" i="2"/>
  <c r="G818" i="2" s="1"/>
  <c r="F816" i="2"/>
  <c r="G816" i="2" s="1"/>
  <c r="F814" i="2"/>
  <c r="G814" i="2" s="1"/>
  <c r="F810" i="2"/>
  <c r="G810" i="2" s="1"/>
  <c r="F808" i="2"/>
  <c r="G808" i="2" s="1"/>
  <c r="F806" i="2"/>
  <c r="G806" i="2" s="1"/>
  <c r="F803" i="2"/>
  <c r="G803" i="2" s="1"/>
  <c r="F801" i="2"/>
  <c r="G801" i="2" s="1"/>
  <c r="F798" i="2"/>
  <c r="G798" i="2" s="1"/>
  <c r="F796" i="2"/>
  <c r="G796" i="2" s="1"/>
  <c r="F794" i="2"/>
  <c r="G794" i="2" s="1"/>
  <c r="F792" i="2"/>
  <c r="G792" i="2" s="1"/>
  <c r="F790" i="2"/>
  <c r="G790" i="2" s="1"/>
  <c r="F787" i="2"/>
  <c r="G787" i="2" s="1"/>
  <c r="F785" i="2"/>
  <c r="G785" i="2" s="1"/>
  <c r="F783" i="2"/>
  <c r="G783" i="2" s="1"/>
  <c r="F781" i="2"/>
  <c r="G781" i="2" s="1"/>
  <c r="F779" i="2"/>
  <c r="G779" i="2" s="1"/>
  <c r="F776" i="2"/>
  <c r="G776" i="2" s="1"/>
  <c r="F774" i="2"/>
  <c r="G774" i="2" s="1"/>
  <c r="F771" i="2"/>
  <c r="G771" i="2" s="1"/>
  <c r="F769" i="2"/>
  <c r="G769" i="2" s="1"/>
  <c r="F767" i="2"/>
  <c r="G767" i="2" s="1"/>
  <c r="F765" i="2"/>
  <c r="G765" i="2" s="1"/>
  <c r="F763" i="2"/>
  <c r="G763" i="2" s="1"/>
  <c r="F761" i="2"/>
  <c r="G761" i="2" s="1"/>
  <c r="F759" i="2"/>
  <c r="G759" i="2" s="1"/>
  <c r="F757" i="2"/>
  <c r="G757" i="2" s="1"/>
  <c r="F755" i="2"/>
  <c r="G755" i="2" s="1"/>
  <c r="F753" i="2"/>
  <c r="G753" i="2" s="1"/>
  <c r="F750" i="2"/>
  <c r="G750" i="2" s="1"/>
  <c r="F746" i="2"/>
  <c r="G746" i="2" s="1"/>
  <c r="F744" i="2"/>
  <c r="G744" i="2" s="1"/>
  <c r="F741" i="2"/>
  <c r="G741" i="2" s="1"/>
  <c r="F739" i="2"/>
  <c r="G739" i="2" s="1"/>
  <c r="F737" i="2"/>
  <c r="G737" i="2" s="1"/>
  <c r="F735" i="2"/>
  <c r="G735" i="2" s="1"/>
  <c r="F732" i="2"/>
  <c r="G732" i="2" s="1"/>
  <c r="F730" i="2"/>
  <c r="G730" i="2" s="1"/>
  <c r="F728" i="2"/>
  <c r="G728" i="2" s="1"/>
  <c r="F724" i="2"/>
  <c r="G724" i="2" s="1"/>
  <c r="F722" i="2"/>
  <c r="G722" i="2" s="1"/>
  <c r="F720" i="2"/>
  <c r="G720" i="2" s="1"/>
  <c r="F718" i="2"/>
  <c r="G718" i="2" s="1"/>
  <c r="F716" i="2"/>
  <c r="G716" i="2" s="1"/>
  <c r="F714" i="2"/>
  <c r="G714" i="2" s="1"/>
  <c r="F712" i="2"/>
  <c r="G712" i="2" s="1"/>
  <c r="F709" i="2"/>
  <c r="G709" i="2" s="1"/>
  <c r="F707" i="2"/>
  <c r="G707" i="2" s="1"/>
  <c r="F705" i="2"/>
  <c r="G705" i="2" s="1"/>
  <c r="F703" i="2"/>
  <c r="G703" i="2" s="1"/>
  <c r="F701" i="2"/>
  <c r="G701" i="2" s="1"/>
  <c r="F699" i="2"/>
  <c r="G699" i="2" s="1"/>
  <c r="F696" i="2"/>
  <c r="G696" i="2" s="1"/>
  <c r="F694" i="2"/>
  <c r="G694" i="2" s="1"/>
  <c r="F692" i="2"/>
  <c r="G692" i="2" s="1"/>
  <c r="F690" i="2"/>
  <c r="G690" i="2" s="1"/>
  <c r="F687" i="2"/>
  <c r="G687" i="2" s="1"/>
  <c r="F685" i="2"/>
  <c r="G685" i="2" s="1"/>
  <c r="F683" i="2"/>
  <c r="G683" i="2" s="1"/>
  <c r="F677" i="2"/>
  <c r="G677" i="2" s="1"/>
  <c r="F675" i="2"/>
  <c r="G675" i="2" s="1"/>
  <c r="F672" i="2"/>
  <c r="G672" i="2" s="1"/>
  <c r="F669" i="2"/>
  <c r="G669" i="2" s="1"/>
  <c r="F667" i="2"/>
  <c r="G667" i="2" s="1"/>
  <c r="F665" i="2"/>
  <c r="G665" i="2" s="1"/>
  <c r="F663" i="2"/>
  <c r="G663" i="2" s="1"/>
  <c r="F661" i="2"/>
  <c r="G661" i="2" s="1"/>
  <c r="F659" i="2"/>
  <c r="G659" i="2" s="1"/>
  <c r="F657" i="2"/>
  <c r="G657" i="2" s="1"/>
  <c r="F652" i="2"/>
  <c r="G652" i="2" s="1"/>
  <c r="F650" i="2"/>
  <c r="G650" i="2" s="1"/>
  <c r="F648" i="2"/>
  <c r="G648" i="2" s="1"/>
  <c r="F646" i="2"/>
  <c r="G646" i="2" s="1"/>
  <c r="F644" i="2"/>
  <c r="G644" i="2" s="1"/>
  <c r="F642" i="2"/>
  <c r="G642" i="2" s="1"/>
  <c r="F640" i="2"/>
  <c r="G640" i="2" s="1"/>
  <c r="F638" i="2"/>
  <c r="G638" i="2" s="1"/>
  <c r="F636" i="2"/>
  <c r="G636" i="2" s="1"/>
  <c r="F633" i="2"/>
  <c r="G633" i="2" s="1"/>
  <c r="F631" i="2"/>
  <c r="G631" i="2" s="1"/>
  <c r="F629" i="2"/>
  <c r="G629" i="2" s="1"/>
  <c r="F627" i="2"/>
  <c r="G627" i="2" s="1"/>
  <c r="F625" i="2"/>
  <c r="G625" i="2" s="1"/>
  <c r="F623" i="2"/>
  <c r="G623" i="2" s="1"/>
  <c r="F621" i="2"/>
  <c r="G621" i="2" s="1"/>
  <c r="F619" i="2"/>
  <c r="G619" i="2" s="1"/>
  <c r="F617" i="2"/>
  <c r="G617" i="2" s="1"/>
  <c r="F611" i="2"/>
  <c r="G611" i="2" s="1"/>
  <c r="F609" i="2"/>
  <c r="G609" i="2" s="1"/>
  <c r="F600" i="2"/>
  <c r="G600" i="2" s="1"/>
  <c r="F596" i="2"/>
  <c r="G596" i="2" s="1"/>
  <c r="F594" i="2"/>
  <c r="G594" i="2" s="1"/>
  <c r="F592" i="2"/>
  <c r="G592" i="2" s="1"/>
  <c r="F590" i="2"/>
  <c r="G590" i="2" s="1"/>
  <c r="F586" i="2"/>
  <c r="G586" i="2" s="1"/>
  <c r="F584" i="2"/>
  <c r="G584" i="2" s="1"/>
  <c r="F582" i="2"/>
  <c r="G582" i="2" s="1"/>
  <c r="F580" i="2"/>
  <c r="G580" i="2" s="1"/>
  <c r="F578" i="2"/>
  <c r="G578" i="2" s="1"/>
  <c r="F576" i="2"/>
  <c r="G576" i="2" s="1"/>
  <c r="F574" i="2"/>
  <c r="G574" i="2" s="1"/>
  <c r="F570" i="2"/>
  <c r="G570" i="2" s="1"/>
  <c r="F568" i="2"/>
  <c r="G568" i="2" s="1"/>
  <c r="F566" i="2"/>
  <c r="G566" i="2" s="1"/>
  <c r="F564" i="2"/>
  <c r="G564" i="2" s="1"/>
  <c r="F562" i="2"/>
  <c r="G562" i="2" s="1"/>
  <c r="F560" i="2"/>
  <c r="G560" i="2" s="1"/>
  <c r="F558" i="2"/>
  <c r="G558" i="2" s="1"/>
  <c r="F556" i="2"/>
  <c r="G556" i="2" s="1"/>
  <c r="F554" i="2"/>
  <c r="G554" i="2" s="1"/>
  <c r="F552" i="2"/>
  <c r="G552" i="2" s="1"/>
  <c r="F550" i="2"/>
  <c r="G550" i="2" s="1"/>
  <c r="F548" i="2"/>
  <c r="G548" i="2" s="1"/>
  <c r="F546" i="2"/>
  <c r="G546" i="2" s="1"/>
  <c r="F544" i="2"/>
  <c r="G544" i="2" s="1"/>
  <c r="F542" i="2"/>
  <c r="G542" i="2" s="1"/>
  <c r="F540" i="2"/>
  <c r="G540" i="2" s="1"/>
  <c r="F538" i="2"/>
  <c r="G538" i="2" s="1"/>
  <c r="F536" i="2"/>
  <c r="G536" i="2" s="1"/>
  <c r="F534" i="2"/>
  <c r="G534" i="2" s="1"/>
  <c r="F530" i="2"/>
  <c r="G530" i="2" s="1"/>
  <c r="F528" i="2"/>
  <c r="G528" i="2" s="1"/>
  <c r="F524" i="2"/>
  <c r="G524" i="2" s="1"/>
  <c r="F520" i="2"/>
  <c r="G520" i="2" s="1"/>
  <c r="F518" i="2"/>
  <c r="G518" i="2" s="1"/>
  <c r="F515" i="2"/>
  <c r="G515" i="2" s="1"/>
  <c r="F512" i="2"/>
  <c r="G512" i="2" s="1"/>
  <c r="F658" i="2"/>
  <c r="G658" i="2" s="1"/>
  <c r="F653" i="2"/>
  <c r="G653" i="2" s="1"/>
  <c r="F651" i="2"/>
  <c r="G651" i="2" s="1"/>
  <c r="F649" i="2"/>
  <c r="G649" i="2" s="1"/>
  <c r="F647" i="2"/>
  <c r="G647" i="2" s="1"/>
  <c r="F645" i="2"/>
  <c r="G645" i="2" s="1"/>
  <c r="F643" i="2"/>
  <c r="G643" i="2" s="1"/>
  <c r="F641" i="2"/>
  <c r="G641" i="2" s="1"/>
  <c r="F639" i="2"/>
  <c r="G639" i="2" s="1"/>
  <c r="F637" i="2"/>
  <c r="G637" i="2" s="1"/>
  <c r="F634" i="2"/>
  <c r="G634" i="2" s="1"/>
  <c r="F632" i="2"/>
  <c r="G632" i="2" s="1"/>
  <c r="F630" i="2"/>
  <c r="G630" i="2" s="1"/>
  <c r="F628" i="2"/>
  <c r="G628" i="2" s="1"/>
  <c r="F626" i="2"/>
  <c r="G626" i="2" s="1"/>
  <c r="F624" i="2"/>
  <c r="G624" i="2" s="1"/>
  <c r="F622" i="2"/>
  <c r="G622" i="2" s="1"/>
  <c r="F620" i="2"/>
  <c r="G620" i="2" s="1"/>
  <c r="F618" i="2"/>
  <c r="G618" i="2" s="1"/>
  <c r="F616" i="2"/>
  <c r="G616" i="2" s="1"/>
  <c r="F610" i="2"/>
  <c r="G610" i="2" s="1"/>
  <c r="F601" i="2"/>
  <c r="G601" i="2" s="1"/>
  <c r="F597" i="2"/>
  <c r="G597" i="2" s="1"/>
  <c r="F595" i="2"/>
  <c r="G595" i="2" s="1"/>
  <c r="F593" i="2"/>
  <c r="G593" i="2" s="1"/>
  <c r="F591" i="2"/>
  <c r="G591" i="2" s="1"/>
  <c r="F587" i="2"/>
  <c r="G587" i="2" s="1"/>
  <c r="F585" i="2"/>
  <c r="G585" i="2" s="1"/>
  <c r="F583" i="2"/>
  <c r="G583" i="2" s="1"/>
  <c r="F581" i="2"/>
  <c r="G581" i="2" s="1"/>
  <c r="F579" i="2"/>
  <c r="G579" i="2" s="1"/>
  <c r="F577" i="2"/>
  <c r="G577" i="2" s="1"/>
  <c r="F575" i="2"/>
  <c r="G575" i="2" s="1"/>
  <c r="F572" i="2"/>
  <c r="G572" i="2" s="1"/>
  <c r="F569" i="2"/>
  <c r="G569" i="2" s="1"/>
  <c r="F567" i="2"/>
  <c r="G567" i="2" s="1"/>
  <c r="F565" i="2"/>
  <c r="G565" i="2" s="1"/>
  <c r="F563" i="2"/>
  <c r="G563" i="2" s="1"/>
  <c r="F561" i="2"/>
  <c r="G561" i="2" s="1"/>
  <c r="F559" i="2"/>
  <c r="G559" i="2" s="1"/>
  <c r="F557" i="2"/>
  <c r="G557" i="2" s="1"/>
  <c r="F555" i="2"/>
  <c r="G555" i="2" s="1"/>
  <c r="F553" i="2"/>
  <c r="G553" i="2" s="1"/>
  <c r="F551" i="2"/>
  <c r="G551" i="2" s="1"/>
  <c r="F549" i="2"/>
  <c r="G549" i="2" s="1"/>
  <c r="F547" i="2"/>
  <c r="G547" i="2" s="1"/>
  <c r="F545" i="2"/>
  <c r="G545" i="2" s="1"/>
  <c r="F543" i="2"/>
  <c r="G543" i="2" s="1"/>
  <c r="F541" i="2"/>
  <c r="G541" i="2" s="1"/>
  <c r="F539" i="2"/>
  <c r="G539" i="2" s="1"/>
  <c r="F537" i="2"/>
  <c r="G537" i="2" s="1"/>
  <c r="F535" i="2"/>
  <c r="G535" i="2" s="1"/>
  <c r="F533" i="2"/>
  <c r="G533" i="2" s="1"/>
  <c r="F529" i="2"/>
  <c r="G529" i="2" s="1"/>
  <c r="F526" i="2"/>
  <c r="G526" i="2" s="1"/>
  <c r="F522" i="2"/>
  <c r="G522" i="2" s="1"/>
  <c r="F519" i="2"/>
  <c r="G519" i="2" s="1"/>
  <c r="F517" i="2"/>
  <c r="G517" i="2" s="1"/>
  <c r="F514" i="2"/>
  <c r="G514" i="2" s="1"/>
  <c r="F511" i="2"/>
  <c r="G511" i="2" s="1"/>
  <c r="F509" i="2"/>
  <c r="G509" i="2" s="1"/>
  <c r="F507" i="2"/>
  <c r="G507" i="2" s="1"/>
  <c r="F504" i="2"/>
  <c r="G504" i="2" s="1"/>
  <c r="F502" i="2"/>
  <c r="G502" i="2" s="1"/>
  <c r="F500" i="2"/>
  <c r="G500" i="2" s="1"/>
  <c r="F498" i="2"/>
  <c r="G498" i="2" s="1"/>
  <c r="F496" i="2"/>
  <c r="G496" i="2" s="1"/>
  <c r="F494" i="2"/>
  <c r="G494" i="2" s="1"/>
  <c r="F492" i="2"/>
  <c r="G492" i="2" s="1"/>
  <c r="F490" i="2"/>
  <c r="G490" i="2" s="1"/>
  <c r="F488" i="2"/>
  <c r="G488" i="2" s="1"/>
  <c r="F486" i="2"/>
  <c r="G486" i="2" s="1"/>
  <c r="F484" i="2"/>
  <c r="G484" i="2" s="1"/>
  <c r="F482" i="2"/>
  <c r="G482" i="2" s="1"/>
  <c r="F479" i="2"/>
  <c r="G479" i="2" s="1"/>
  <c r="F477" i="2"/>
  <c r="G477" i="2" s="1"/>
  <c r="F475" i="2"/>
  <c r="G475" i="2" s="1"/>
  <c r="F473" i="2"/>
  <c r="G473" i="2" s="1"/>
  <c r="F470" i="2"/>
  <c r="G470" i="2" s="1"/>
  <c r="F468" i="2"/>
  <c r="G468" i="2" s="1"/>
  <c r="F466" i="2"/>
  <c r="G466" i="2" s="1"/>
  <c r="F464" i="2"/>
  <c r="G464" i="2" s="1"/>
  <c r="F462" i="2"/>
  <c r="G462" i="2" s="1"/>
  <c r="F460" i="2"/>
  <c r="G460" i="2" s="1"/>
  <c r="F458" i="2"/>
  <c r="G458" i="2" s="1"/>
  <c r="F456" i="2"/>
  <c r="G456" i="2" s="1"/>
  <c r="F453" i="2"/>
  <c r="G453" i="2" s="1"/>
  <c r="F451" i="2"/>
  <c r="G451" i="2" s="1"/>
  <c r="F449" i="2"/>
  <c r="G449" i="2" s="1"/>
  <c r="F445" i="2"/>
  <c r="G445" i="2" s="1"/>
  <c r="F442" i="2"/>
  <c r="G442" i="2" s="1"/>
  <c r="F440" i="2"/>
  <c r="G440" i="2" s="1"/>
  <c r="F438" i="2"/>
  <c r="G438" i="2" s="1"/>
  <c r="F436" i="2"/>
  <c r="G436" i="2" s="1"/>
  <c r="F434" i="2"/>
  <c r="G434" i="2" s="1"/>
  <c r="F431" i="2"/>
  <c r="G431" i="2" s="1"/>
  <c r="F429" i="2"/>
  <c r="G429" i="2" s="1"/>
  <c r="F427" i="2"/>
  <c r="G427" i="2" s="1"/>
  <c r="F425" i="2"/>
  <c r="G425" i="2" s="1"/>
  <c r="F423" i="2"/>
  <c r="G423" i="2" s="1"/>
  <c r="F418" i="2"/>
  <c r="G418" i="2" s="1"/>
  <c r="F414" i="2"/>
  <c r="G414" i="2" s="1"/>
  <c r="F410" i="2"/>
  <c r="G410" i="2" s="1"/>
  <c r="F401" i="2"/>
  <c r="G401" i="2" s="1"/>
  <c r="F387" i="2"/>
  <c r="G387" i="2" s="1"/>
  <c r="F371" i="2"/>
  <c r="G371" i="2" s="1"/>
  <c r="F357" i="2"/>
  <c r="G357" i="2" s="1"/>
  <c r="F328" i="2"/>
  <c r="G328" i="2" s="1"/>
  <c r="F299" i="2"/>
  <c r="G299" i="2" s="1"/>
  <c r="F296" i="2"/>
  <c r="G296" i="2" s="1"/>
  <c r="F293" i="2"/>
  <c r="G293" i="2" s="1"/>
  <c r="F265" i="2"/>
  <c r="G265" i="2" s="1"/>
  <c r="F227" i="2"/>
  <c r="G227" i="2" s="1"/>
  <c r="F220" i="2"/>
  <c r="G220" i="2" s="1"/>
  <c r="F217" i="2"/>
  <c r="G217" i="2" s="1"/>
  <c r="F212" i="2"/>
  <c r="G212" i="2" s="1"/>
  <c r="F184" i="2"/>
  <c r="G184" i="2" s="1"/>
  <c r="F167" i="2"/>
  <c r="G167" i="2" s="1"/>
  <c r="F155" i="2"/>
  <c r="G155" i="2" s="1"/>
  <c r="F152" i="2"/>
  <c r="G152" i="2" s="1"/>
  <c r="F145" i="2"/>
  <c r="G145" i="2" s="1"/>
  <c r="F141" i="2"/>
  <c r="G141" i="2" s="1"/>
  <c r="F137" i="2"/>
  <c r="G137" i="2" s="1"/>
  <c r="F133" i="2"/>
  <c r="G133" i="2" s="1"/>
  <c r="F129" i="2"/>
  <c r="G129" i="2" s="1"/>
  <c r="F125" i="2"/>
  <c r="G125" i="2" s="1"/>
  <c r="F121" i="2"/>
  <c r="G121" i="2" s="1"/>
  <c r="F117" i="2"/>
  <c r="G117" i="2" s="1"/>
  <c r="F113" i="2"/>
  <c r="G113" i="2" s="1"/>
  <c r="F109" i="2"/>
  <c r="G109" i="2" s="1"/>
  <c r="F105" i="2"/>
  <c r="G105" i="2" s="1"/>
  <c r="F407" i="2"/>
  <c r="G407" i="2" s="1"/>
  <c r="F405" i="2"/>
  <c r="G405" i="2" s="1"/>
  <c r="F403" i="2"/>
  <c r="G403" i="2" s="1"/>
  <c r="F400" i="2"/>
  <c r="G400" i="2" s="1"/>
  <c r="F398" i="2"/>
  <c r="G398" i="2" s="1"/>
  <c r="F396" i="2"/>
  <c r="G396" i="2" s="1"/>
  <c r="F394" i="2"/>
  <c r="G394" i="2" s="1"/>
  <c r="F392" i="2"/>
  <c r="G392" i="2" s="1"/>
  <c r="F389" i="2"/>
  <c r="G389" i="2" s="1"/>
  <c r="F386" i="2"/>
  <c r="G386" i="2" s="1"/>
  <c r="F384" i="2"/>
  <c r="G384" i="2" s="1"/>
  <c r="F382" i="2"/>
  <c r="G382" i="2" s="1"/>
  <c r="F380" i="2"/>
  <c r="G380" i="2" s="1"/>
  <c r="F378" i="2"/>
  <c r="G378" i="2" s="1"/>
  <c r="F376" i="2"/>
  <c r="G376" i="2" s="1"/>
  <c r="F374" i="2"/>
  <c r="G374" i="2" s="1"/>
  <c r="F370" i="2"/>
  <c r="G370" i="2" s="1"/>
  <c r="F367" i="2"/>
  <c r="G367" i="2" s="1"/>
  <c r="F365" i="2"/>
  <c r="G365" i="2" s="1"/>
  <c r="F363" i="2"/>
  <c r="G363" i="2" s="1"/>
  <c r="F361" i="2"/>
  <c r="G361" i="2" s="1"/>
  <c r="F359" i="2"/>
  <c r="G359" i="2" s="1"/>
  <c r="F356" i="2"/>
  <c r="G356" i="2" s="1"/>
  <c r="F354" i="2"/>
  <c r="G354" i="2" s="1"/>
  <c r="F352" i="2"/>
  <c r="G352" i="2" s="1"/>
  <c r="F350" i="2"/>
  <c r="G350" i="2" s="1"/>
  <c r="F347" i="2"/>
  <c r="G347" i="2" s="1"/>
  <c r="F345" i="2"/>
  <c r="G345" i="2" s="1"/>
  <c r="F343" i="2"/>
  <c r="G343" i="2" s="1"/>
  <c r="F341" i="2"/>
  <c r="G341" i="2" s="1"/>
  <c r="F339" i="2"/>
  <c r="G339" i="2" s="1"/>
  <c r="F337" i="2"/>
  <c r="G337" i="2" s="1"/>
  <c r="F335" i="2"/>
  <c r="G335" i="2" s="1"/>
  <c r="F333" i="2"/>
  <c r="G333" i="2" s="1"/>
  <c r="F331" i="2"/>
  <c r="G331" i="2" s="1"/>
  <c r="F329" i="2"/>
  <c r="G329" i="2" s="1"/>
  <c r="F326" i="2"/>
  <c r="G326" i="2" s="1"/>
  <c r="F324" i="2"/>
  <c r="G324" i="2" s="1"/>
  <c r="F322" i="2"/>
  <c r="G322" i="2" s="1"/>
  <c r="F320" i="2"/>
  <c r="G320" i="2" s="1"/>
  <c r="F317" i="2"/>
  <c r="G317" i="2" s="1"/>
  <c r="F315" i="2"/>
  <c r="G315" i="2" s="1"/>
  <c r="F313" i="2"/>
  <c r="G313" i="2" s="1"/>
  <c r="F311" i="2"/>
  <c r="G311" i="2" s="1"/>
  <c r="F309" i="2"/>
  <c r="G309" i="2" s="1"/>
  <c r="F307" i="2"/>
  <c r="G307" i="2" s="1"/>
  <c r="F305" i="2"/>
  <c r="G305" i="2" s="1"/>
  <c r="F303" i="2"/>
  <c r="G303" i="2" s="1"/>
  <c r="F301" i="2"/>
  <c r="G301" i="2" s="1"/>
  <c r="F297" i="2"/>
  <c r="G297" i="2" s="1"/>
  <c r="F292" i="2"/>
  <c r="G292" i="2" s="1"/>
  <c r="F290" i="2"/>
  <c r="G290" i="2" s="1"/>
  <c r="F288" i="2"/>
  <c r="G288" i="2" s="1"/>
  <c r="F286" i="2"/>
  <c r="G286" i="2" s="1"/>
  <c r="F283" i="2"/>
  <c r="G283" i="2" s="1"/>
  <c r="F281" i="2"/>
  <c r="G281" i="2" s="1"/>
  <c r="F279" i="2"/>
  <c r="G279" i="2" s="1"/>
  <c r="F277" i="2"/>
  <c r="G277" i="2" s="1"/>
  <c r="F275" i="2"/>
  <c r="G275" i="2" s="1"/>
  <c r="F273" i="2"/>
  <c r="G273" i="2" s="1"/>
  <c r="F271" i="2"/>
  <c r="G271" i="2" s="1"/>
  <c r="F269" i="2"/>
  <c r="G269" i="2" s="1"/>
  <c r="F267" i="2"/>
  <c r="G267" i="2" s="1"/>
  <c r="F263" i="2"/>
  <c r="G263" i="2" s="1"/>
  <c r="F261" i="2"/>
  <c r="G261" i="2" s="1"/>
  <c r="F259" i="2"/>
  <c r="G259" i="2" s="1"/>
  <c r="F257" i="2"/>
  <c r="G257" i="2" s="1"/>
  <c r="F255" i="2"/>
  <c r="G255" i="2" s="1"/>
  <c r="F253" i="2"/>
  <c r="G253" i="2" s="1"/>
  <c r="F251" i="2"/>
  <c r="G251" i="2" s="1"/>
  <c r="F249" i="2"/>
  <c r="G249" i="2" s="1"/>
  <c r="F247" i="2"/>
  <c r="G247" i="2" s="1"/>
  <c r="F245" i="2"/>
  <c r="G245" i="2" s="1"/>
  <c r="F243" i="2"/>
  <c r="G243" i="2" s="1"/>
  <c r="F241" i="2"/>
  <c r="G241" i="2" s="1"/>
  <c r="F239" i="2"/>
  <c r="G239" i="2" s="1"/>
  <c r="F237" i="2"/>
  <c r="G237" i="2" s="1"/>
  <c r="F235" i="2"/>
  <c r="G235" i="2" s="1"/>
  <c r="F233" i="2"/>
  <c r="G233" i="2" s="1"/>
  <c r="F231" i="2"/>
  <c r="G231" i="2" s="1"/>
  <c r="F229" i="2"/>
  <c r="G229" i="2" s="1"/>
  <c r="F226" i="2"/>
  <c r="G226" i="2" s="1"/>
  <c r="F223" i="2"/>
  <c r="G223" i="2" s="1"/>
  <c r="F221" i="2"/>
  <c r="G221" i="2" s="1"/>
  <c r="F216" i="2"/>
  <c r="G216" i="2" s="1"/>
  <c r="F213" i="2"/>
  <c r="G213" i="2" s="1"/>
  <c r="F210" i="2"/>
  <c r="G210" i="2" s="1"/>
  <c r="F208" i="2"/>
  <c r="G208" i="2" s="1"/>
  <c r="F206" i="2"/>
  <c r="G206" i="2" s="1"/>
  <c r="F204" i="2"/>
  <c r="G204" i="2" s="1"/>
  <c r="F201" i="2"/>
  <c r="G201" i="2" s="1"/>
  <c r="F199" i="2"/>
  <c r="G199" i="2" s="1"/>
  <c r="F197" i="2"/>
  <c r="G197" i="2" s="1"/>
  <c r="F195" i="2"/>
  <c r="G195" i="2" s="1"/>
  <c r="F193" i="2"/>
  <c r="G193" i="2" s="1"/>
  <c r="F191" i="2"/>
  <c r="G191" i="2" s="1"/>
  <c r="F189" i="2"/>
  <c r="G189" i="2" s="1"/>
  <c r="F187" i="2"/>
  <c r="G187" i="2" s="1"/>
  <c r="F185" i="2"/>
  <c r="G185" i="2" s="1"/>
  <c r="F182" i="2"/>
  <c r="G182" i="2" s="1"/>
  <c r="F180" i="2"/>
  <c r="G180" i="2" s="1"/>
  <c r="F178" i="2"/>
  <c r="G178" i="2" s="1"/>
  <c r="F176" i="2"/>
  <c r="G176" i="2" s="1"/>
  <c r="F173" i="2"/>
  <c r="G173" i="2" s="1"/>
  <c r="F171" i="2"/>
  <c r="G171" i="2" s="1"/>
  <c r="F169" i="2"/>
  <c r="G169" i="2" s="1"/>
  <c r="F166" i="2"/>
  <c r="G166" i="2" s="1"/>
  <c r="F164" i="2"/>
  <c r="G164" i="2" s="1"/>
  <c r="F161" i="2"/>
  <c r="G161" i="2" s="1"/>
  <c r="F159" i="2"/>
  <c r="G159" i="2" s="1"/>
  <c r="F157" i="2"/>
  <c r="G157" i="2" s="1"/>
  <c r="F154" i="2"/>
  <c r="G154" i="2" s="1"/>
  <c r="F149" i="2"/>
  <c r="G149" i="2" s="1"/>
  <c r="F147" i="2"/>
  <c r="G147" i="2" s="1"/>
  <c r="F144" i="2"/>
  <c r="G144" i="2" s="1"/>
  <c r="F140" i="2"/>
  <c r="G140" i="2" s="1"/>
  <c r="F136" i="2"/>
  <c r="G136" i="2" s="1"/>
  <c r="F132" i="2"/>
  <c r="G132" i="2" s="1"/>
  <c r="F128" i="2"/>
  <c r="G128" i="2" s="1"/>
  <c r="F124" i="2"/>
  <c r="G124" i="2" s="1"/>
  <c r="F120" i="2"/>
  <c r="G120" i="2" s="1"/>
  <c r="F116" i="2"/>
  <c r="G116" i="2" s="1"/>
  <c r="F112" i="2"/>
  <c r="G112" i="2" s="1"/>
  <c r="F108" i="2"/>
  <c r="G108" i="2" s="1"/>
  <c r="F104" i="2"/>
  <c r="G104" i="2" s="1"/>
  <c r="F510" i="2"/>
  <c r="G510" i="2" s="1"/>
  <c r="F508" i="2"/>
  <c r="G508" i="2" s="1"/>
  <c r="F505" i="2"/>
  <c r="G505" i="2" s="1"/>
  <c r="F503" i="2"/>
  <c r="G503" i="2" s="1"/>
  <c r="F501" i="2"/>
  <c r="G501" i="2" s="1"/>
  <c r="F499" i="2"/>
  <c r="G499" i="2" s="1"/>
  <c r="F497" i="2"/>
  <c r="G497" i="2" s="1"/>
  <c r="F495" i="2"/>
  <c r="G495" i="2" s="1"/>
  <c r="F493" i="2"/>
  <c r="G493" i="2" s="1"/>
  <c r="F491" i="2"/>
  <c r="G491" i="2" s="1"/>
  <c r="F489" i="2"/>
  <c r="G489" i="2" s="1"/>
  <c r="F487" i="2"/>
  <c r="G487" i="2" s="1"/>
  <c r="F485" i="2"/>
  <c r="G485" i="2" s="1"/>
  <c r="F483" i="2"/>
  <c r="G483" i="2" s="1"/>
  <c r="F481" i="2"/>
  <c r="G481" i="2" s="1"/>
  <c r="F478" i="2"/>
  <c r="G478" i="2" s="1"/>
  <c r="F476" i="2"/>
  <c r="G476" i="2" s="1"/>
  <c r="F474" i="2"/>
  <c r="G474" i="2" s="1"/>
  <c r="F471" i="2"/>
  <c r="G471" i="2" s="1"/>
  <c r="F469" i="2"/>
  <c r="G469" i="2" s="1"/>
  <c r="F467" i="2"/>
  <c r="G467" i="2" s="1"/>
  <c r="F465" i="2"/>
  <c r="G465" i="2" s="1"/>
  <c r="F463" i="2"/>
  <c r="G463" i="2" s="1"/>
  <c r="F461" i="2"/>
  <c r="G461" i="2" s="1"/>
  <c r="F459" i="2"/>
  <c r="G459" i="2" s="1"/>
  <c r="F457" i="2"/>
  <c r="G457" i="2" s="1"/>
  <c r="F454" i="2"/>
  <c r="G454" i="2" s="1"/>
  <c r="F452" i="2"/>
  <c r="G452" i="2" s="1"/>
  <c r="F450" i="2"/>
  <c r="G450" i="2" s="1"/>
  <c r="F447" i="2"/>
  <c r="G447" i="2" s="1"/>
  <c r="F443" i="2"/>
  <c r="G443" i="2" s="1"/>
  <c r="F441" i="2"/>
  <c r="G441" i="2" s="1"/>
  <c r="F439" i="2"/>
  <c r="G439" i="2" s="1"/>
  <c r="F437" i="2"/>
  <c r="G437" i="2" s="1"/>
  <c r="F435" i="2"/>
  <c r="G435" i="2" s="1"/>
  <c r="F432" i="2"/>
  <c r="G432" i="2" s="1"/>
  <c r="F430" i="2"/>
  <c r="G430" i="2" s="1"/>
  <c r="F428" i="2"/>
  <c r="G428" i="2" s="1"/>
  <c r="F426" i="2"/>
  <c r="G426" i="2" s="1"/>
  <c r="F424" i="2"/>
  <c r="G424" i="2" s="1"/>
  <c r="F421" i="2"/>
  <c r="G421" i="2" s="1"/>
  <c r="F416" i="2"/>
  <c r="G416" i="2" s="1"/>
  <c r="F413" i="2"/>
  <c r="G413" i="2" s="1"/>
  <c r="F408" i="2"/>
  <c r="G408" i="2" s="1"/>
  <c r="F391" i="2"/>
  <c r="G391" i="2" s="1"/>
  <c r="F372" i="2"/>
  <c r="G372" i="2" s="1"/>
  <c r="F369" i="2"/>
  <c r="G369" i="2" s="1"/>
  <c r="F348" i="2"/>
  <c r="G348" i="2" s="1"/>
  <c r="F318" i="2"/>
  <c r="G318" i="2" s="1"/>
  <c r="F298" i="2"/>
  <c r="G298" i="2" s="1"/>
  <c r="F294" i="2"/>
  <c r="G294" i="2" s="1"/>
  <c r="F285" i="2"/>
  <c r="G285" i="2" s="1"/>
  <c r="F264" i="2"/>
  <c r="G264" i="2" s="1"/>
  <c r="F224" i="2"/>
  <c r="G224" i="2" s="1"/>
  <c r="F218" i="2"/>
  <c r="G218" i="2" s="1"/>
  <c r="F215" i="2"/>
  <c r="G215" i="2" s="1"/>
  <c r="F203" i="2"/>
  <c r="G203" i="2" s="1"/>
  <c r="F174" i="2"/>
  <c r="G174" i="2" s="1"/>
  <c r="F163" i="2"/>
  <c r="G163" i="2" s="1"/>
  <c r="F153" i="2"/>
  <c r="G153" i="2" s="1"/>
  <c r="F151" i="2"/>
  <c r="G151" i="2" s="1"/>
  <c r="F143" i="2"/>
  <c r="G143" i="2" s="1"/>
  <c r="F139" i="2"/>
  <c r="G139" i="2" s="1"/>
  <c r="F135" i="2"/>
  <c r="G135" i="2" s="1"/>
  <c r="F131" i="2"/>
  <c r="G131" i="2" s="1"/>
  <c r="F127" i="2"/>
  <c r="G127" i="2" s="1"/>
  <c r="F123" i="2"/>
  <c r="G123" i="2" s="1"/>
  <c r="F119" i="2"/>
  <c r="G119" i="2" s="1"/>
  <c r="F115" i="2"/>
  <c r="G115" i="2" s="1"/>
  <c r="F111" i="2"/>
  <c r="G111" i="2" s="1"/>
  <c r="F107" i="2"/>
  <c r="G107" i="2" s="1"/>
  <c r="F103" i="2"/>
  <c r="G103" i="2" s="1"/>
  <c r="F406" i="2"/>
  <c r="G406" i="2" s="1"/>
  <c r="F404" i="2"/>
  <c r="G404" i="2" s="1"/>
  <c r="F402" i="2"/>
  <c r="G402" i="2" s="1"/>
  <c r="F399" i="2"/>
  <c r="G399" i="2" s="1"/>
  <c r="F397" i="2"/>
  <c r="G397" i="2" s="1"/>
  <c r="F395" i="2"/>
  <c r="G395" i="2" s="1"/>
  <c r="F393" i="2"/>
  <c r="G393" i="2" s="1"/>
  <c r="F390" i="2"/>
  <c r="G390" i="2" s="1"/>
  <c r="F388" i="2"/>
  <c r="G388" i="2" s="1"/>
  <c r="F385" i="2"/>
  <c r="G385" i="2" s="1"/>
  <c r="F383" i="2"/>
  <c r="G383" i="2" s="1"/>
  <c r="F381" i="2"/>
  <c r="G381" i="2" s="1"/>
  <c r="F379" i="2"/>
  <c r="G379" i="2" s="1"/>
  <c r="F377" i="2"/>
  <c r="G377" i="2" s="1"/>
  <c r="F375" i="2"/>
  <c r="G375" i="2" s="1"/>
  <c r="F373" i="2"/>
  <c r="G373" i="2" s="1"/>
  <c r="F368" i="2"/>
  <c r="G368" i="2" s="1"/>
  <c r="F366" i="2"/>
  <c r="G366" i="2" s="1"/>
  <c r="F364" i="2"/>
  <c r="G364" i="2" s="1"/>
  <c r="F362" i="2"/>
  <c r="G362" i="2" s="1"/>
  <c r="F360" i="2"/>
  <c r="G360" i="2" s="1"/>
  <c r="F358" i="2"/>
  <c r="G358" i="2" s="1"/>
  <c r="F355" i="2"/>
  <c r="G355" i="2" s="1"/>
  <c r="F353" i="2"/>
  <c r="G353" i="2" s="1"/>
  <c r="F351" i="2"/>
  <c r="G351" i="2" s="1"/>
  <c r="F349" i="2"/>
  <c r="G349" i="2" s="1"/>
  <c r="F346" i="2"/>
  <c r="G346" i="2" s="1"/>
  <c r="F344" i="2"/>
  <c r="G344" i="2" s="1"/>
  <c r="F342" i="2"/>
  <c r="G342" i="2" s="1"/>
  <c r="F340" i="2"/>
  <c r="G340" i="2" s="1"/>
  <c r="F338" i="2"/>
  <c r="G338" i="2" s="1"/>
  <c r="F336" i="2"/>
  <c r="G336" i="2" s="1"/>
  <c r="F334" i="2"/>
  <c r="G334" i="2" s="1"/>
  <c r="F332" i="2"/>
  <c r="G332" i="2" s="1"/>
  <c r="F330" i="2"/>
  <c r="G330" i="2" s="1"/>
  <c r="F327" i="2"/>
  <c r="G327" i="2" s="1"/>
  <c r="F325" i="2"/>
  <c r="G325" i="2" s="1"/>
  <c r="F323" i="2"/>
  <c r="G323" i="2" s="1"/>
  <c r="F321" i="2"/>
  <c r="G321" i="2" s="1"/>
  <c r="F319" i="2"/>
  <c r="G319" i="2" s="1"/>
  <c r="F316" i="2"/>
  <c r="G316" i="2" s="1"/>
  <c r="F314" i="2"/>
  <c r="G314" i="2" s="1"/>
  <c r="F312" i="2"/>
  <c r="G312" i="2" s="1"/>
  <c r="F310" i="2"/>
  <c r="G310" i="2" s="1"/>
  <c r="F308" i="2"/>
  <c r="G308" i="2" s="1"/>
  <c r="F306" i="2"/>
  <c r="G306" i="2" s="1"/>
  <c r="F304" i="2"/>
  <c r="G304" i="2" s="1"/>
  <c r="F302" i="2"/>
  <c r="G302" i="2" s="1"/>
  <c r="F300" i="2"/>
  <c r="G300" i="2" s="1"/>
  <c r="F295" i="2"/>
  <c r="G295" i="2" s="1"/>
  <c r="F291" i="2"/>
  <c r="G291" i="2" s="1"/>
  <c r="F289" i="2"/>
  <c r="G289" i="2" s="1"/>
  <c r="F287" i="2"/>
  <c r="G287" i="2" s="1"/>
  <c r="F284" i="2"/>
  <c r="G284" i="2" s="1"/>
  <c r="F282" i="2"/>
  <c r="G282" i="2" s="1"/>
  <c r="F280" i="2"/>
  <c r="G280" i="2" s="1"/>
  <c r="F278" i="2"/>
  <c r="G278" i="2" s="1"/>
  <c r="F276" i="2"/>
  <c r="G276" i="2" s="1"/>
  <c r="F274" i="2"/>
  <c r="G274" i="2" s="1"/>
  <c r="F272" i="2"/>
  <c r="G272" i="2" s="1"/>
  <c r="F270" i="2"/>
  <c r="G270" i="2" s="1"/>
  <c r="F268" i="2"/>
  <c r="G268" i="2" s="1"/>
  <c r="F266" i="2"/>
  <c r="G266" i="2" s="1"/>
  <c r="F262" i="2"/>
  <c r="G262" i="2" s="1"/>
  <c r="F260" i="2"/>
  <c r="G260" i="2" s="1"/>
  <c r="F258" i="2"/>
  <c r="G258" i="2" s="1"/>
  <c r="F256" i="2"/>
  <c r="G256" i="2" s="1"/>
  <c r="F254" i="2"/>
  <c r="G254" i="2" s="1"/>
  <c r="F252" i="2"/>
  <c r="G252" i="2" s="1"/>
  <c r="F250" i="2"/>
  <c r="G250" i="2" s="1"/>
  <c r="F248" i="2"/>
  <c r="G248" i="2" s="1"/>
  <c r="F246" i="2"/>
  <c r="G246" i="2" s="1"/>
  <c r="F244" i="2"/>
  <c r="G244" i="2" s="1"/>
  <c r="F242" i="2"/>
  <c r="G242" i="2" s="1"/>
  <c r="F240" i="2"/>
  <c r="G240" i="2" s="1"/>
  <c r="F238" i="2"/>
  <c r="G238" i="2" s="1"/>
  <c r="F236" i="2"/>
  <c r="G236" i="2" s="1"/>
  <c r="F234" i="2"/>
  <c r="G234" i="2" s="1"/>
  <c r="F232" i="2"/>
  <c r="G232" i="2" s="1"/>
  <c r="F230" i="2"/>
  <c r="G230" i="2" s="1"/>
  <c r="F228" i="2"/>
  <c r="G228" i="2" s="1"/>
  <c r="F225" i="2"/>
  <c r="G225" i="2" s="1"/>
  <c r="F222" i="2"/>
  <c r="G222" i="2" s="1"/>
  <c r="F219" i="2"/>
  <c r="G219" i="2" s="1"/>
  <c r="F214" i="2"/>
  <c r="G214" i="2" s="1"/>
  <c r="F211" i="2"/>
  <c r="G211" i="2" s="1"/>
  <c r="F209" i="2"/>
  <c r="G209" i="2" s="1"/>
  <c r="F207" i="2"/>
  <c r="G207" i="2" s="1"/>
  <c r="F205" i="2"/>
  <c r="G205" i="2" s="1"/>
  <c r="F202" i="2"/>
  <c r="G202" i="2" s="1"/>
  <c r="F200" i="2"/>
  <c r="G200" i="2" s="1"/>
  <c r="F198" i="2"/>
  <c r="G198" i="2" s="1"/>
  <c r="F196" i="2"/>
  <c r="G196" i="2" s="1"/>
  <c r="F194" i="2"/>
  <c r="G194" i="2" s="1"/>
  <c r="F192" i="2"/>
  <c r="G192" i="2" s="1"/>
  <c r="F190" i="2"/>
  <c r="G190" i="2" s="1"/>
  <c r="F188" i="2"/>
  <c r="G188" i="2" s="1"/>
  <c r="F186" i="2"/>
  <c r="G186" i="2" s="1"/>
  <c r="F183" i="2"/>
  <c r="G183" i="2" s="1"/>
  <c r="F181" i="2"/>
  <c r="G181" i="2" s="1"/>
  <c r="F179" i="2"/>
  <c r="G179" i="2" s="1"/>
  <c r="F177" i="2"/>
  <c r="G177" i="2" s="1"/>
  <c r="F175" i="2"/>
  <c r="G175" i="2" s="1"/>
  <c r="F172" i="2"/>
  <c r="G172" i="2" s="1"/>
  <c r="F170" i="2"/>
  <c r="G170" i="2" s="1"/>
  <c r="F168" i="2"/>
  <c r="G168" i="2" s="1"/>
  <c r="F165" i="2"/>
  <c r="G165" i="2" s="1"/>
  <c r="F162" i="2"/>
  <c r="G162" i="2" s="1"/>
  <c r="F160" i="2"/>
  <c r="G160" i="2" s="1"/>
  <c r="F158" i="2"/>
  <c r="G158" i="2" s="1"/>
  <c r="F156" i="2"/>
  <c r="G156" i="2" s="1"/>
  <c r="F150" i="2"/>
  <c r="G150" i="2" s="1"/>
  <c r="F148" i="2"/>
  <c r="G148" i="2" s="1"/>
  <c r="F146" i="2"/>
  <c r="G146" i="2" s="1"/>
  <c r="F142" i="2"/>
  <c r="G142" i="2" s="1"/>
  <c r="F138" i="2"/>
  <c r="G138" i="2" s="1"/>
  <c r="F134" i="2"/>
  <c r="G134" i="2" s="1"/>
  <c r="F130" i="2"/>
  <c r="G130" i="2" s="1"/>
  <c r="F126" i="2"/>
  <c r="G126" i="2" s="1"/>
  <c r="F122" i="2"/>
  <c r="G122" i="2" s="1"/>
  <c r="F118" i="2"/>
  <c r="G118" i="2" s="1"/>
  <c r="F114" i="2"/>
  <c r="G114" i="2" s="1"/>
  <c r="F110" i="2"/>
  <c r="G110" i="2" s="1"/>
  <c r="F106" i="2"/>
  <c r="G106" i="2" s="1"/>
  <c r="N24" i="1"/>
  <c r="J3" i="2"/>
  <c r="J4" i="2"/>
  <c r="G3" i="2" l="1"/>
  <c r="N23" i="1" s="1"/>
  <c r="N25" i="1"/>
  <c r="K3" i="2"/>
  <c r="K4" i="2"/>
  <c r="J6" i="2"/>
  <c r="J7" i="2" s="1"/>
  <c r="N3" i="2" s="1"/>
  <c r="O3" i="2" s="1" a="1"/>
  <c r="O3" i="2" s="1"/>
  <c r="N4" i="2" l="1"/>
  <c r="O4" i="2" s="1" a="1"/>
  <c r="O4" i="2" s="1"/>
  <c r="K6" i="2"/>
  <c r="K7" i="2" s="1"/>
  <c r="Q3" i="2" s="1"/>
  <c r="N5" i="2" l="1"/>
  <c r="O5" i="2" s="1" a="1"/>
  <c r="O5" i="2" s="1"/>
  <c r="Q4" i="2"/>
  <c r="R3" i="2" a="1"/>
  <c r="R3" i="2" s="1"/>
  <c r="N6" i="2" l="1"/>
  <c r="O6" i="2" s="1" a="1"/>
  <c r="O6" i="2" s="1"/>
  <c r="R4" i="2" a="1"/>
  <c r="R4" i="2" s="1"/>
  <c r="Q5" i="2"/>
  <c r="N7" i="2" l="1"/>
  <c r="O7" i="2" s="1" a="1"/>
  <c r="O7" i="2" s="1"/>
  <c r="Q6" i="2"/>
  <c r="R5" i="2" a="1"/>
  <c r="R5" i="2" s="1"/>
  <c r="N8" i="2" l="1"/>
  <c r="O8" i="2" s="1" a="1"/>
  <c r="O8" i="2" s="1"/>
  <c r="R6" i="2" a="1"/>
  <c r="R6" i="2" s="1"/>
  <c r="Q7" i="2"/>
  <c r="N9" i="2" l="1"/>
  <c r="O9" i="2" s="1" a="1"/>
  <c r="O9" i="2" s="1"/>
  <c r="R7" i="2" a="1"/>
  <c r="R7" i="2" s="1"/>
  <c r="Q8" i="2"/>
  <c r="N10" i="2" l="1"/>
  <c r="O10" i="2" s="1" a="1"/>
  <c r="O10" i="2" s="1"/>
  <c r="Q9" i="2"/>
  <c r="R8" i="2" a="1"/>
  <c r="R8" i="2" s="1"/>
  <c r="N11" i="2" l="1"/>
  <c r="O11" i="2" s="1" a="1"/>
  <c r="O11" i="2" s="1"/>
  <c r="Q10" i="2"/>
  <c r="R9" i="2" a="1"/>
  <c r="R9" i="2" s="1"/>
  <c r="N12" i="2" l="1"/>
  <c r="O12" i="2" s="1" a="1"/>
  <c r="O12" i="2" s="1"/>
  <c r="R10" i="2" a="1"/>
  <c r="R10" i="2" s="1"/>
  <c r="Q11" i="2"/>
  <c r="N13" i="2" l="1"/>
  <c r="O13" i="2" s="1" a="1"/>
  <c r="O13" i="2" s="1"/>
  <c r="Q12" i="2"/>
  <c r="R11" i="2" a="1"/>
  <c r="R11" i="2" s="1"/>
  <c r="N14" i="2" l="1"/>
  <c r="O14" i="2" s="1" a="1"/>
  <c r="O14" i="2" s="1"/>
  <c r="R12" i="2" a="1"/>
  <c r="R12" i="2" s="1"/>
  <c r="Q13" i="2"/>
  <c r="N15" i="2" l="1"/>
  <c r="O15" i="2" s="1" a="1"/>
  <c r="O15" i="2" s="1"/>
  <c r="R13" i="2" a="1"/>
  <c r="R13" i="2" s="1"/>
  <c r="Q14" i="2"/>
  <c r="N16" i="2" l="1"/>
  <c r="O16" i="2" s="1" a="1"/>
  <c r="O16" i="2" s="1"/>
  <c r="Q15" i="2"/>
  <c r="R14" i="2" a="1"/>
  <c r="R14" i="2" s="1"/>
  <c r="N17" i="2" l="1"/>
  <c r="O17" i="2" s="1" a="1"/>
  <c r="O17" i="2" s="1"/>
  <c r="Q16" i="2"/>
  <c r="R15" i="2" a="1"/>
  <c r="R15" i="2" s="1"/>
  <c r="N18" i="2" l="1"/>
  <c r="O18" i="2" s="1" a="1"/>
  <c r="O18" i="2" s="1"/>
  <c r="R16" i="2" a="1"/>
  <c r="R16" i="2" s="1"/>
  <c r="Q17" i="2"/>
  <c r="N19" i="2" l="1"/>
  <c r="O19" i="2" s="1" a="1"/>
  <c r="O19" i="2" s="1"/>
  <c r="Q18" i="2"/>
  <c r="R17" i="2" a="1"/>
  <c r="R17" i="2" s="1"/>
  <c r="N20" i="2" l="1"/>
  <c r="O20" i="2" s="1" a="1"/>
  <c r="O20" i="2" s="1"/>
  <c r="R18" i="2" a="1"/>
  <c r="R18" i="2" s="1"/>
  <c r="Q19" i="2"/>
  <c r="N21" i="2" l="1"/>
  <c r="O21" i="2" s="1" a="1"/>
  <c r="O21" i="2" s="1"/>
  <c r="R19" i="2" a="1"/>
  <c r="R19" i="2" s="1"/>
  <c r="Q20" i="2"/>
  <c r="N22" i="2" l="1"/>
  <c r="O22" i="2" s="1" a="1"/>
  <c r="O22" i="2" s="1"/>
  <c r="Q21" i="2"/>
  <c r="R20" i="2" a="1"/>
  <c r="R20" i="2" s="1"/>
  <c r="Q22" i="2" l="1"/>
  <c r="R22" i="2" s="1" a="1"/>
  <c r="R22" i="2" s="1"/>
  <c r="R21" i="2" a="1"/>
  <c r="R21" i="2" s="1"/>
</calcChain>
</file>

<file path=xl/sharedStrings.xml><?xml version="1.0" encoding="utf-8"?>
<sst xmlns="http://schemas.openxmlformats.org/spreadsheetml/2006/main" count="50" uniqueCount="45">
  <si>
    <t xml:space="preserve">Initial outlay: </t>
  </si>
  <si>
    <t xml:space="preserve">Highest retrun: </t>
  </si>
  <si>
    <t xml:space="preserve">Lowest return: </t>
  </si>
  <si>
    <t xml:space="preserve">Interest rate: </t>
  </si>
  <si>
    <t>You decide to borrow the following amount:</t>
  </si>
  <si>
    <t xml:space="preserve">Actual investment return: </t>
  </si>
  <si>
    <t>terminate. You have determined that the highest and lowest possible returns (with 99%</t>
  </si>
  <si>
    <t xml:space="preserve">Expected return: </t>
  </si>
  <si>
    <t xml:space="preserve">Standard deviation: </t>
  </si>
  <si>
    <t xml:space="preserve">Your equity: </t>
  </si>
  <si>
    <t>ROE</t>
  </si>
  <si>
    <t xml:space="preserve">Expected Return: </t>
  </si>
  <si>
    <t>Standard Deviation:</t>
  </si>
  <si>
    <t>ROA</t>
  </si>
  <si>
    <t>RVAR</t>
  </si>
  <si>
    <t xml:space="preserve">Initial Outlay: </t>
  </si>
  <si>
    <t xml:space="preserve">Borrow: </t>
  </si>
  <si>
    <t xml:space="preserve">Interest Rate: </t>
  </si>
  <si>
    <t xml:space="preserve">Equity: </t>
  </si>
  <si>
    <t>You can borrow money at the following interest rate:</t>
  </si>
  <si>
    <t xml:space="preserve">Borrowed amount: </t>
  </si>
  <si>
    <t xml:space="preserve">Return on your equity: </t>
  </si>
  <si>
    <t>Here are some calculated parameters based on your input. Make sure they are plausible</t>
  </si>
  <si>
    <t>based on your inputs above.</t>
  </si>
  <si>
    <t>The investment has a life of one year. So, it will pay a lump sum in one year and then</t>
  </si>
  <si>
    <t>confidence) are as follows:</t>
  </si>
  <si>
    <t>In this simulation, we assume that the possible returns have a normal distribution. So, the</t>
  </si>
  <si>
    <t>expected return is the midpoint of the highest and lowest returns  and the standard</t>
  </si>
  <si>
    <t>deviation is the distance between the highest and lowest returns divided by 5.1.</t>
  </si>
  <si>
    <t>Min</t>
  </si>
  <si>
    <t>Max</t>
  </si>
  <si>
    <t>Interval</t>
  </si>
  <si>
    <t>Half Interval</t>
  </si>
  <si>
    <t>Bins</t>
  </si>
  <si>
    <t>computer. Please be patient.</t>
  </si>
  <si>
    <t>ROE&lt;ROA</t>
  </si>
  <si>
    <t># of times ROE &lt; ROA:</t>
  </si>
  <si>
    <t># of times ROA &lt; 0:</t>
  </si>
  <si>
    <t># of times ROE &lt; 0:</t>
  </si>
  <si>
    <t>There is an asset (investment) that requires an initial outlay:</t>
  </si>
  <si>
    <r>
      <rPr>
        <b/>
        <sz val="11"/>
        <color theme="1"/>
        <rFont val="Calibri"/>
        <family val="2"/>
        <scheme val="minor"/>
      </rPr>
      <t>Caution</t>
    </r>
    <r>
      <rPr>
        <sz val="11"/>
        <color theme="1"/>
        <rFont val="Calibri"/>
        <family val="2"/>
        <scheme val="minor"/>
      </rPr>
      <t>: Rerunning 1,000 simulations can take a lot of time depending on the speed of your</t>
    </r>
  </si>
  <si>
    <t>Results from 1,000 Simulations</t>
  </si>
  <si>
    <t>The chart below shows the return on asset (ROA) and return on equity (ROE) from 1,000</t>
  </si>
  <si>
    <t>random simulations based on the parameters you entered.</t>
  </si>
  <si>
    <t>Leverage and Risk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</si>
</sst>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quot;$&quot;#,##0.00"/>
    <numFmt numFmtId="165" formatCode="&quot;$&quot;#,##0"/>
  </numFmts>
  <fonts count="11" x14ac:knownFonts="1">
    <font>
      <sz val="11"/>
      <color theme="1"/>
      <name val="Calibri"/>
      <family val="2"/>
      <scheme val="minor"/>
    </font>
    <font>
      <sz val="11"/>
      <color theme="1"/>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b/>
      <sz val="18"/>
      <color theme="1"/>
      <name val="Calibri"/>
      <family val="2"/>
      <scheme val="minor"/>
    </font>
    <font>
      <sz val="12"/>
      <color theme="1"/>
      <name val="Calibri"/>
      <family val="2"/>
      <scheme val="minor"/>
    </font>
    <font>
      <sz val="12"/>
      <color rgb="FF3F3F76"/>
      <name val="Calibri"/>
      <family val="2"/>
      <scheme val="minor"/>
    </font>
    <font>
      <b/>
      <sz val="12"/>
      <color rgb="FF3F3F3F"/>
      <name val="Calibri"/>
      <family val="2"/>
      <scheme val="minor"/>
    </font>
    <font>
      <sz val="11"/>
      <color rgb="FF000000"/>
      <name val="Calibri"/>
      <family val="2"/>
      <scheme val="minor"/>
    </font>
    <font>
      <b/>
      <sz val="14"/>
      <color rgb="FF0000FF"/>
      <name val="Calibri"/>
      <family val="2"/>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rgb="FFFFFFCC"/>
      </patternFill>
    </fill>
  </fills>
  <borders count="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s>
  <cellStyleXfs count="5">
    <xf numFmtId="0" fontId="0" fillId="0" borderId="0"/>
    <xf numFmtId="9" fontId="1" fillId="0" borderId="0" applyFont="0" applyFill="0" applyBorder="0" applyAlignment="0" applyProtection="0"/>
    <xf numFmtId="0" fontId="2" fillId="2" borderId="1" applyNumberFormat="0" applyAlignment="0" applyProtection="0"/>
    <xf numFmtId="0" fontId="3" fillId="3" borderId="2" applyNumberFormat="0" applyAlignment="0" applyProtection="0"/>
    <xf numFmtId="0" fontId="1" fillId="4" borderId="3" applyNumberFormat="0" applyFont="0" applyAlignment="0" applyProtection="0"/>
  </cellStyleXfs>
  <cellXfs count="22">
    <xf numFmtId="0" fontId="0" fillId="0" borderId="0" xfId="0"/>
    <xf numFmtId="9" fontId="0" fillId="0" borderId="0" xfId="0" applyNumberFormat="1"/>
    <xf numFmtId="10" fontId="0" fillId="0" borderId="0" xfId="0" applyNumberFormat="1"/>
    <xf numFmtId="164" fontId="0" fillId="0" borderId="0" xfId="0" applyNumberFormat="1"/>
    <xf numFmtId="0" fontId="0" fillId="0" borderId="0" xfId="0" applyAlignment="1">
      <alignment horizontal="right"/>
    </xf>
    <xf numFmtId="10" fontId="0" fillId="0" borderId="0" xfId="1" applyNumberFormat="1" applyFont="1"/>
    <xf numFmtId="0" fontId="6" fillId="0" borderId="0" xfId="0" applyFont="1"/>
    <xf numFmtId="0" fontId="6" fillId="0" borderId="0" xfId="0" applyFont="1" applyAlignment="1">
      <alignment horizontal="right"/>
    </xf>
    <xf numFmtId="10" fontId="6" fillId="0" borderId="4" xfId="1" applyNumberFormat="1" applyFont="1" applyBorder="1"/>
    <xf numFmtId="0" fontId="6" fillId="0" borderId="0" xfId="0" applyFont="1" applyFill="1" applyBorder="1" applyAlignment="1">
      <alignment horizontal="right"/>
    </xf>
    <xf numFmtId="165" fontId="6" fillId="0" borderId="4" xfId="0" applyNumberFormat="1" applyFont="1" applyBorder="1"/>
    <xf numFmtId="10" fontId="8" fillId="3" borderId="2" xfId="3" applyNumberFormat="1" applyFont="1"/>
    <xf numFmtId="165" fontId="7" fillId="2" borderId="1" xfId="2" applyNumberFormat="1" applyFont="1" applyProtection="1">
      <protection locked="0"/>
    </xf>
    <xf numFmtId="10" fontId="7" fillId="2" borderId="1" xfId="2" applyNumberFormat="1" applyFont="1" applyProtection="1">
      <protection locked="0"/>
    </xf>
    <xf numFmtId="9" fontId="7" fillId="2" borderId="1" xfId="2" applyNumberFormat="1" applyFont="1" applyProtection="1">
      <protection locked="0"/>
    </xf>
    <xf numFmtId="0" fontId="9" fillId="0" borderId="0" xfId="0" applyFont="1"/>
    <xf numFmtId="0" fontId="0" fillId="0" borderId="4" xfId="0" applyBorder="1"/>
    <xf numFmtId="0" fontId="4" fillId="4" borderId="0" xfId="4" applyFont="1" applyBorder="1" applyAlignment="1">
      <alignment horizontal="left" vertical="top" wrapText="1"/>
    </xf>
    <xf numFmtId="0" fontId="6" fillId="0" borderId="0" xfId="0" applyFont="1" applyAlignment="1">
      <alignment horizontal="center" wrapText="1"/>
    </xf>
    <xf numFmtId="0" fontId="5" fillId="0" borderId="5" xfId="0" applyFont="1" applyBorder="1" applyAlignment="1">
      <alignment horizontal="center"/>
    </xf>
    <xf numFmtId="0" fontId="0" fillId="0" borderId="4" xfId="0" applyBorder="1" applyAlignment="1">
      <alignment horizontal="right"/>
    </xf>
    <xf numFmtId="0" fontId="0" fillId="0" borderId="0" xfId="0" applyAlignment="1">
      <alignment horizontal="center"/>
    </xf>
  </cellXfs>
  <cellStyles count="5">
    <cellStyle name="Input" xfId="2" builtinId="20"/>
    <cellStyle name="Normal" xfId="0" builtinId="0"/>
    <cellStyle name="Note" xfId="4" builtinId="10"/>
    <cellStyle name="Output" xfId="3" builtinId="21"/>
    <cellStyle name="Percent" xfId="1" builtinId="5"/>
  </cellStyles>
  <dxfs count="2">
    <dxf>
      <font>
        <b/>
        <i val="0"/>
        <color rgb="FFFFFF00"/>
      </font>
      <fill>
        <patternFill>
          <bgColor rgb="FFC00000"/>
        </patternFill>
      </fill>
    </dxf>
    <dxf>
      <font>
        <b/>
        <i val="0"/>
        <color rgb="FFFFFF00"/>
      </font>
      <fill>
        <patternFill>
          <bgColor rgb="FFC0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Results from 1,000 Simulations</a:t>
            </a:r>
          </a:p>
        </c:rich>
      </c:tx>
      <c:overlay val="0"/>
    </c:title>
    <c:autoTitleDeleted val="0"/>
    <c:plotArea>
      <c:layout/>
      <c:scatterChart>
        <c:scatterStyle val="smoothMarker"/>
        <c:varyColors val="0"/>
        <c:ser>
          <c:idx val="0"/>
          <c:order val="0"/>
          <c:tx>
            <c:strRef>
              <c:f>Sheet2!$J$2</c:f>
              <c:strCache>
                <c:ptCount val="1"/>
                <c:pt idx="0">
                  <c:v>ROA</c:v>
                </c:pt>
              </c:strCache>
            </c:strRef>
          </c:tx>
          <c:marker>
            <c:symbol val="none"/>
          </c:marker>
          <c:xVal>
            <c:numRef>
              <c:f>Sheet2!$N$3:$N$22</c:f>
              <c:numCache>
                <c:formatCode>0.00%</c:formatCode>
                <c:ptCount val="20"/>
                <c:pt idx="0">
                  <c:v>-0.45531720726773206</c:v>
                </c:pt>
                <c:pt idx="1">
                  <c:v>-0.3951679414670215</c:v>
                </c:pt>
                <c:pt idx="2">
                  <c:v>-0.33501867566631094</c:v>
                </c:pt>
                <c:pt idx="3">
                  <c:v>-0.27486940986560038</c:v>
                </c:pt>
                <c:pt idx="4">
                  <c:v>-0.21472014406488985</c:v>
                </c:pt>
                <c:pt idx="5">
                  <c:v>-0.15457087826417931</c:v>
                </c:pt>
                <c:pt idx="6">
                  <c:v>-9.4421612463468779E-2</c:v>
                </c:pt>
                <c:pt idx="7">
                  <c:v>-3.4272346662758239E-2</c:v>
                </c:pt>
                <c:pt idx="8">
                  <c:v>2.5876919137952301E-2</c:v>
                </c:pt>
                <c:pt idx="9">
                  <c:v>8.6026184938662847E-2</c:v>
                </c:pt>
                <c:pt idx="10">
                  <c:v>0.14617545073937338</c:v>
                </c:pt>
                <c:pt idx="11">
                  <c:v>0.20632471654008391</c:v>
                </c:pt>
                <c:pt idx="12">
                  <c:v>0.26647398234079445</c:v>
                </c:pt>
                <c:pt idx="13">
                  <c:v>0.32662324814150501</c:v>
                </c:pt>
                <c:pt idx="14">
                  <c:v>0.38677251394221557</c:v>
                </c:pt>
                <c:pt idx="15">
                  <c:v>0.44692177974292613</c:v>
                </c:pt>
                <c:pt idx="16">
                  <c:v>0.50707104554363669</c:v>
                </c:pt>
                <c:pt idx="17">
                  <c:v>0.56722031134434725</c:v>
                </c:pt>
                <c:pt idx="18">
                  <c:v>0.62736957714505781</c:v>
                </c:pt>
                <c:pt idx="19">
                  <c:v>0.68751884294576837</c:v>
                </c:pt>
              </c:numCache>
            </c:numRef>
          </c:xVal>
          <c:yVal>
            <c:numRef>
              <c:f>Sheet2!$O$3:$O$22</c:f>
              <c:numCache>
                <c:formatCode>General</c:formatCode>
                <c:ptCount val="20"/>
                <c:pt idx="0">
                  <c:v>2</c:v>
                </c:pt>
                <c:pt idx="1">
                  <c:v>4</c:v>
                </c:pt>
                <c:pt idx="2">
                  <c:v>9</c:v>
                </c:pt>
                <c:pt idx="3">
                  <c:v>20</c:v>
                </c:pt>
                <c:pt idx="4">
                  <c:v>39</c:v>
                </c:pt>
                <c:pt idx="5">
                  <c:v>52</c:v>
                </c:pt>
                <c:pt idx="6">
                  <c:v>86</c:v>
                </c:pt>
                <c:pt idx="7">
                  <c:v>92</c:v>
                </c:pt>
                <c:pt idx="8">
                  <c:v>116</c:v>
                </c:pt>
                <c:pt idx="9">
                  <c:v>123</c:v>
                </c:pt>
                <c:pt idx="10">
                  <c:v>117</c:v>
                </c:pt>
                <c:pt idx="11">
                  <c:v>107</c:v>
                </c:pt>
                <c:pt idx="12">
                  <c:v>90</c:v>
                </c:pt>
                <c:pt idx="13">
                  <c:v>59</c:v>
                </c:pt>
                <c:pt idx="14">
                  <c:v>45</c:v>
                </c:pt>
                <c:pt idx="15">
                  <c:v>18</c:v>
                </c:pt>
                <c:pt idx="16">
                  <c:v>9</c:v>
                </c:pt>
                <c:pt idx="17">
                  <c:v>8</c:v>
                </c:pt>
                <c:pt idx="18">
                  <c:v>2</c:v>
                </c:pt>
                <c:pt idx="19">
                  <c:v>2</c:v>
                </c:pt>
              </c:numCache>
            </c:numRef>
          </c:yVal>
          <c:smooth val="1"/>
          <c:extLst>
            <c:ext xmlns:c16="http://schemas.microsoft.com/office/drawing/2014/chart" uri="{C3380CC4-5D6E-409C-BE32-E72D297353CC}">
              <c16:uniqueId val="{00000000-B7BF-472F-86F6-D10B20AAD463}"/>
            </c:ext>
          </c:extLst>
        </c:ser>
        <c:ser>
          <c:idx val="1"/>
          <c:order val="1"/>
          <c:tx>
            <c:strRef>
              <c:f>Sheet2!$K$2</c:f>
              <c:strCache>
                <c:ptCount val="1"/>
                <c:pt idx="0">
                  <c:v>ROE</c:v>
                </c:pt>
              </c:strCache>
            </c:strRef>
          </c:tx>
          <c:marker>
            <c:symbol val="none"/>
          </c:marker>
          <c:xVal>
            <c:numRef>
              <c:f>Sheet2!$Q$3:$Q$22</c:f>
              <c:numCache>
                <c:formatCode>0.00%</c:formatCode>
                <c:ptCount val="20"/>
                <c:pt idx="0">
                  <c:v>-0.71297581090159812</c:v>
                </c:pt>
                <c:pt idx="1">
                  <c:v>-0.62275191220053228</c:v>
                </c:pt>
                <c:pt idx="2">
                  <c:v>-0.53252801349946643</c:v>
                </c:pt>
                <c:pt idx="3">
                  <c:v>-0.44230411479840059</c:v>
                </c:pt>
                <c:pt idx="4">
                  <c:v>-0.35208021609733475</c:v>
                </c:pt>
                <c:pt idx="5">
                  <c:v>-0.26185631739626891</c:v>
                </c:pt>
                <c:pt idx="6">
                  <c:v>-0.1716324186952031</c:v>
                </c:pt>
                <c:pt idx="7">
                  <c:v>-8.1408519994137285E-2</c:v>
                </c:pt>
                <c:pt idx="8">
                  <c:v>8.8153787069285283E-3</c:v>
                </c:pt>
                <c:pt idx="9">
                  <c:v>9.9039277407994342E-2</c:v>
                </c:pt>
                <c:pt idx="10">
                  <c:v>0.18926317610906015</c:v>
                </c:pt>
                <c:pt idx="11">
                  <c:v>0.27948707481012597</c:v>
                </c:pt>
                <c:pt idx="12">
                  <c:v>0.36971097351119175</c:v>
                </c:pt>
                <c:pt idx="13">
                  <c:v>0.45993487221225759</c:v>
                </c:pt>
                <c:pt idx="14">
                  <c:v>0.55015877091332344</c:v>
                </c:pt>
                <c:pt idx="15">
                  <c:v>0.64038266961438928</c:v>
                </c:pt>
                <c:pt idx="16">
                  <c:v>0.73060656831545512</c:v>
                </c:pt>
                <c:pt idx="17">
                  <c:v>0.82083046701652096</c:v>
                </c:pt>
                <c:pt idx="18">
                  <c:v>0.9110543657175868</c:v>
                </c:pt>
                <c:pt idx="19">
                  <c:v>1.0012782644186526</c:v>
                </c:pt>
              </c:numCache>
            </c:numRef>
          </c:xVal>
          <c:yVal>
            <c:numRef>
              <c:f>Sheet2!$R$3:$R$22</c:f>
              <c:numCache>
                <c:formatCode>General</c:formatCode>
                <c:ptCount val="20"/>
                <c:pt idx="0">
                  <c:v>2</c:v>
                </c:pt>
                <c:pt idx="1">
                  <c:v>4</c:v>
                </c:pt>
                <c:pt idx="2">
                  <c:v>9</c:v>
                </c:pt>
                <c:pt idx="3">
                  <c:v>20</c:v>
                </c:pt>
                <c:pt idx="4">
                  <c:v>39</c:v>
                </c:pt>
                <c:pt idx="5">
                  <c:v>52</c:v>
                </c:pt>
                <c:pt idx="6">
                  <c:v>86</c:v>
                </c:pt>
                <c:pt idx="7">
                  <c:v>92</c:v>
                </c:pt>
                <c:pt idx="8">
                  <c:v>116</c:v>
                </c:pt>
                <c:pt idx="9">
                  <c:v>123</c:v>
                </c:pt>
                <c:pt idx="10">
                  <c:v>117</c:v>
                </c:pt>
                <c:pt idx="11">
                  <c:v>107</c:v>
                </c:pt>
                <c:pt idx="12">
                  <c:v>90</c:v>
                </c:pt>
                <c:pt idx="13">
                  <c:v>59</c:v>
                </c:pt>
                <c:pt idx="14">
                  <c:v>45</c:v>
                </c:pt>
                <c:pt idx="15">
                  <c:v>18</c:v>
                </c:pt>
                <c:pt idx="16">
                  <c:v>9</c:v>
                </c:pt>
                <c:pt idx="17">
                  <c:v>8</c:v>
                </c:pt>
                <c:pt idx="18">
                  <c:v>2</c:v>
                </c:pt>
                <c:pt idx="19">
                  <c:v>2</c:v>
                </c:pt>
              </c:numCache>
            </c:numRef>
          </c:yVal>
          <c:smooth val="1"/>
          <c:extLst>
            <c:ext xmlns:c16="http://schemas.microsoft.com/office/drawing/2014/chart" uri="{C3380CC4-5D6E-409C-BE32-E72D297353CC}">
              <c16:uniqueId val="{00000001-B7BF-472F-86F6-D10B20AAD463}"/>
            </c:ext>
          </c:extLst>
        </c:ser>
        <c:dLbls>
          <c:showLegendKey val="0"/>
          <c:showVal val="0"/>
          <c:showCatName val="0"/>
          <c:showSerName val="0"/>
          <c:showPercent val="0"/>
          <c:showBubbleSize val="0"/>
        </c:dLbls>
        <c:axId val="174596096"/>
        <c:axId val="174597632"/>
      </c:scatterChart>
      <c:valAx>
        <c:axId val="174596096"/>
        <c:scaling>
          <c:orientation val="minMax"/>
        </c:scaling>
        <c:delete val="0"/>
        <c:axPos val="b"/>
        <c:numFmt formatCode="0.00%" sourceLinked="1"/>
        <c:majorTickMark val="out"/>
        <c:minorTickMark val="none"/>
        <c:tickLblPos val="nextTo"/>
        <c:crossAx val="174597632"/>
        <c:crosses val="autoZero"/>
        <c:crossBetween val="midCat"/>
      </c:valAx>
      <c:valAx>
        <c:axId val="174597632"/>
        <c:scaling>
          <c:orientation val="minMax"/>
        </c:scaling>
        <c:delete val="0"/>
        <c:axPos val="l"/>
        <c:majorGridlines/>
        <c:title>
          <c:tx>
            <c:rich>
              <a:bodyPr rot="0" vert="horz"/>
              <a:lstStyle/>
              <a:p>
                <a:pPr>
                  <a:defRPr/>
                </a:pPr>
                <a:r>
                  <a:rPr lang="en-US"/>
                  <a:t>n</a:t>
                </a:r>
              </a:p>
            </c:rich>
          </c:tx>
          <c:overlay val="0"/>
        </c:title>
        <c:numFmt formatCode="General" sourceLinked="1"/>
        <c:majorTickMark val="out"/>
        <c:minorTickMark val="none"/>
        <c:tickLblPos val="nextTo"/>
        <c:crossAx val="174596096"/>
        <c:crosses val="autoZero"/>
        <c:crossBetween val="midCat"/>
      </c:valAx>
    </c:plotArea>
    <c:legend>
      <c:legendPos val="b"/>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57150</xdr:colOff>
      <xdr:row>4</xdr:row>
      <xdr:rowOff>123825</xdr:rowOff>
    </xdr:from>
    <xdr:to>
      <xdr:col>18</xdr:col>
      <xdr:colOff>571500</xdr:colOff>
      <xdr:row>20</xdr:row>
      <xdr:rowOff>152400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411480</xdr:colOff>
          <xdr:row>31</xdr:row>
          <xdr:rowOff>38100</xdr:rowOff>
        </xdr:from>
        <xdr:to>
          <xdr:col>7</xdr:col>
          <xdr:colOff>201930</xdr:colOff>
          <xdr:row>34</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400" b="1" i="0" u="none" strike="noStrike" baseline="0">
                  <a:solidFill>
                    <a:srgbClr val="0000FF"/>
                  </a:solidFill>
                  <a:latin typeface="Calibri"/>
                </a:rPr>
                <a:t>Re-run the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323850</xdr:colOff>
          <xdr:row>28</xdr:row>
          <xdr:rowOff>190500</xdr:rowOff>
        </xdr:from>
        <xdr:to>
          <xdr:col>15</xdr:col>
          <xdr:colOff>114300</xdr:colOff>
          <xdr:row>31</xdr:row>
          <xdr:rowOff>190500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400" b="1" i="0" u="none" strike="noStrike" baseline="0">
                  <a:solidFill>
                    <a:srgbClr val="0000FF"/>
                  </a:solidFill>
                  <a:latin typeface="Calibri"/>
                </a:rPr>
                <a:t>Re-run 1000 simulations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38"/>
  <sheetViews>
    <sheetView showGridLines="0" tabSelected="1" workbookViewId="0">
      <selection sqref="A1:I1"/>
    </sheetView>
  </sheetViews>
  <sheetFormatPr defaultRowHeight="14.4" x14ac:dyDescent="0.55000000000000004"/>
  <cols>
    <col min="4" max="4" width="10.15625" bestFit="1" customWidth="1"/>
  </cols>
  <sheetData>
    <row r="1" spans="1:19" ht="23.4" thickBot="1" x14ac:dyDescent="0.9">
      <c r="A1" s="19" t="s">
        <v>44</v>
      </c>
      <c r="B1" s="19"/>
      <c r="C1" s="19"/>
      <c r="D1" s="19"/>
      <c r="E1" s="19"/>
      <c r="F1" s="19"/>
      <c r="G1" s="19"/>
      <c r="H1" s="19"/>
      <c r="I1" s="19"/>
      <c r="K1" s="19" t="s">
        <v>41</v>
      </c>
      <c r="L1" s="19"/>
      <c r="M1" s="19"/>
      <c r="N1" s="19"/>
      <c r="O1" s="19"/>
      <c r="P1" s="19"/>
      <c r="Q1" s="19"/>
      <c r="R1" s="19"/>
      <c r="S1" s="19"/>
    </row>
    <row r="2" spans="1:19" ht="15.6" x14ac:dyDescent="0.6">
      <c r="A2" s="6"/>
      <c r="B2" s="6"/>
      <c r="C2" s="6"/>
      <c r="D2" s="6"/>
      <c r="E2" s="6"/>
      <c r="F2" s="6"/>
      <c r="G2" s="6"/>
      <c r="H2" s="6"/>
      <c r="I2" s="6"/>
    </row>
    <row r="3" spans="1:19" ht="15.6" x14ac:dyDescent="0.6">
      <c r="A3" s="6" t="s">
        <v>39</v>
      </c>
      <c r="B3" s="6"/>
      <c r="C3" s="6"/>
      <c r="D3" s="6"/>
      <c r="E3" s="6"/>
      <c r="F3" s="6"/>
      <c r="G3" s="6"/>
      <c r="H3" s="6"/>
      <c r="I3" s="6"/>
      <c r="K3" t="s">
        <v>42</v>
      </c>
    </row>
    <row r="4" spans="1:19" ht="15.6" x14ac:dyDescent="0.6">
      <c r="A4" s="6"/>
      <c r="B4" s="6"/>
      <c r="C4" s="6"/>
      <c r="D4" s="6"/>
      <c r="E4" s="6"/>
      <c r="F4" s="6"/>
      <c r="G4" s="6"/>
      <c r="H4" s="6"/>
      <c r="I4" s="6"/>
      <c r="K4" t="s">
        <v>43</v>
      </c>
    </row>
    <row r="5" spans="1:19" ht="15.6" x14ac:dyDescent="0.6">
      <c r="A5" s="6"/>
      <c r="B5" s="6"/>
      <c r="C5" s="7" t="s">
        <v>0</v>
      </c>
      <c r="D5" s="12">
        <v>15000</v>
      </c>
      <c r="E5" s="6"/>
      <c r="F5" s="6"/>
      <c r="G5" s="6"/>
      <c r="H5" s="6"/>
      <c r="I5" s="6"/>
    </row>
    <row r="6" spans="1:19" ht="15.6" x14ac:dyDescent="0.6">
      <c r="A6" s="6"/>
      <c r="B6" s="6"/>
      <c r="C6" s="6"/>
      <c r="D6" s="6"/>
      <c r="E6" s="6"/>
      <c r="F6" s="6"/>
      <c r="G6" s="6"/>
      <c r="H6" s="6"/>
      <c r="I6" s="6"/>
    </row>
    <row r="7" spans="1:19" ht="15.6" x14ac:dyDescent="0.6">
      <c r="A7" s="6" t="s">
        <v>24</v>
      </c>
      <c r="B7" s="6"/>
      <c r="C7" s="6"/>
      <c r="D7" s="6"/>
      <c r="E7" s="6"/>
      <c r="F7" s="6"/>
      <c r="G7" s="6"/>
      <c r="H7" s="6"/>
      <c r="I7" s="6"/>
    </row>
    <row r="8" spans="1:19" ht="15.6" x14ac:dyDescent="0.6">
      <c r="A8" s="6" t="s">
        <v>6</v>
      </c>
      <c r="B8" s="6"/>
      <c r="C8" s="6"/>
      <c r="D8" s="6"/>
      <c r="E8" s="6"/>
      <c r="F8" s="6"/>
      <c r="G8" s="6"/>
      <c r="H8" s="6"/>
      <c r="I8" s="6"/>
    </row>
    <row r="9" spans="1:19" ht="15.6" x14ac:dyDescent="0.6">
      <c r="A9" s="6" t="s">
        <v>25</v>
      </c>
      <c r="B9" s="6"/>
      <c r="C9" s="6"/>
      <c r="D9" s="6"/>
      <c r="E9" s="6"/>
      <c r="F9" s="6"/>
      <c r="G9" s="6"/>
      <c r="H9" s="6"/>
      <c r="I9" s="6"/>
    </row>
    <row r="10" spans="1:19" ht="15.6" x14ac:dyDescent="0.6">
      <c r="A10" s="6"/>
      <c r="B10" s="6"/>
      <c r="C10" s="6"/>
      <c r="D10" s="6"/>
      <c r="E10" s="6"/>
      <c r="F10" s="6"/>
      <c r="G10" s="18" t="str">
        <f>IF(D12&gt;D11,"Lowest return cannot be greater than the highest return.","")</f>
        <v/>
      </c>
      <c r="H10" s="18"/>
      <c r="I10" s="6"/>
    </row>
    <row r="11" spans="1:19" ht="15.6" x14ac:dyDescent="0.6">
      <c r="A11" s="6"/>
      <c r="B11" s="6"/>
      <c r="C11" s="7" t="s">
        <v>1</v>
      </c>
      <c r="D11" s="13">
        <v>0.6</v>
      </c>
      <c r="E11" s="6"/>
      <c r="F11" s="6"/>
      <c r="G11" s="18"/>
      <c r="H11" s="18"/>
      <c r="I11" s="6"/>
    </row>
    <row r="12" spans="1:19" ht="15.6" x14ac:dyDescent="0.6">
      <c r="A12" s="6"/>
      <c r="B12" s="6"/>
      <c r="C12" s="7" t="s">
        <v>2</v>
      </c>
      <c r="D12" s="13">
        <v>-0.4</v>
      </c>
      <c r="E12" s="6"/>
      <c r="F12" s="6"/>
      <c r="G12" s="18"/>
      <c r="H12" s="18"/>
      <c r="I12" s="6"/>
    </row>
    <row r="13" spans="1:19" ht="15.6" x14ac:dyDescent="0.6">
      <c r="A13" s="6"/>
      <c r="B13" s="6"/>
      <c r="C13" s="6"/>
      <c r="D13" s="6"/>
      <c r="E13" s="6"/>
      <c r="F13" s="6"/>
      <c r="G13" s="18"/>
      <c r="H13" s="18"/>
      <c r="I13" s="6"/>
    </row>
    <row r="14" spans="1:19" ht="15.6" x14ac:dyDescent="0.6">
      <c r="A14" s="15" t="s">
        <v>26</v>
      </c>
      <c r="B14" s="6"/>
      <c r="C14" s="6"/>
      <c r="D14" s="6"/>
      <c r="E14" s="6"/>
      <c r="F14" s="6"/>
      <c r="G14" s="6"/>
      <c r="H14" s="6"/>
      <c r="I14" s="6"/>
    </row>
    <row r="15" spans="1:19" ht="15.6" x14ac:dyDescent="0.6">
      <c r="A15" s="6" t="s">
        <v>27</v>
      </c>
      <c r="B15" s="6"/>
      <c r="C15" s="6"/>
      <c r="D15" s="6"/>
      <c r="E15" s="6"/>
      <c r="F15" s="6"/>
      <c r="G15" s="6"/>
      <c r="H15" s="6"/>
      <c r="I15" s="6"/>
    </row>
    <row r="16" spans="1:19" ht="15.6" x14ac:dyDescent="0.6">
      <c r="A16" s="6" t="s">
        <v>28</v>
      </c>
      <c r="B16" s="6"/>
      <c r="C16" s="6"/>
      <c r="D16" s="6"/>
      <c r="E16" s="6"/>
      <c r="F16" s="6"/>
      <c r="G16" s="6"/>
      <c r="H16" s="6"/>
      <c r="I16" s="6"/>
    </row>
    <row r="17" spans="1:14" ht="15.6" x14ac:dyDescent="0.6">
      <c r="A17" s="6"/>
      <c r="B17" s="6"/>
      <c r="C17" s="6"/>
      <c r="D17" s="6"/>
      <c r="E17" s="6"/>
      <c r="F17" s="6"/>
      <c r="G17" s="6"/>
      <c r="H17" s="6"/>
      <c r="I17" s="6"/>
    </row>
    <row r="18" spans="1:14" ht="15.6" x14ac:dyDescent="0.6">
      <c r="A18" s="6" t="s">
        <v>19</v>
      </c>
      <c r="B18" s="6"/>
      <c r="C18" s="6"/>
      <c r="D18" s="6"/>
      <c r="E18" s="6"/>
      <c r="F18" s="6"/>
      <c r="G18" s="6"/>
      <c r="H18" s="6"/>
      <c r="I18" s="6"/>
    </row>
    <row r="19" spans="1:14" ht="15.6" x14ac:dyDescent="0.6">
      <c r="A19" s="6"/>
      <c r="B19" s="6"/>
      <c r="C19" s="6"/>
      <c r="D19" s="6"/>
      <c r="E19" s="6"/>
      <c r="F19" s="6"/>
      <c r="G19" s="6"/>
      <c r="H19" s="6"/>
      <c r="I19" s="6"/>
    </row>
    <row r="20" spans="1:14" ht="15.75" customHeight="1" x14ac:dyDescent="0.6">
      <c r="A20" s="6"/>
      <c r="B20" s="6"/>
      <c r="C20" s="7" t="s">
        <v>3</v>
      </c>
      <c r="D20" s="14">
        <v>0.06</v>
      </c>
      <c r="E20" s="6"/>
      <c r="F20" s="6"/>
      <c r="I20" s="6"/>
    </row>
    <row r="21" spans="1:14" ht="15.6" x14ac:dyDescent="0.6">
      <c r="A21" s="6"/>
      <c r="B21" s="6"/>
      <c r="C21" s="6"/>
      <c r="D21" s="6"/>
      <c r="E21" s="6"/>
      <c r="F21" s="6"/>
      <c r="I21" s="6"/>
    </row>
    <row r="22" spans="1:14" ht="15.6" x14ac:dyDescent="0.6">
      <c r="A22" s="6" t="s">
        <v>4</v>
      </c>
      <c r="B22" s="6"/>
      <c r="C22" s="6"/>
      <c r="D22" s="6"/>
      <c r="E22" s="6"/>
      <c r="F22" s="6"/>
      <c r="G22" s="18" t="str">
        <f>IF(D24&gt;D5,"You cannot borrow more than the initial outlay.","")</f>
        <v/>
      </c>
      <c r="H22" s="18"/>
      <c r="I22" s="6"/>
    </row>
    <row r="23" spans="1:14" ht="15.6" x14ac:dyDescent="0.6">
      <c r="A23" s="6"/>
      <c r="B23" s="6"/>
      <c r="C23" s="6"/>
      <c r="D23" s="6"/>
      <c r="E23" s="6"/>
      <c r="F23" s="6"/>
      <c r="G23" s="18"/>
      <c r="H23" s="18"/>
      <c r="I23" s="6"/>
      <c r="K23" s="20" t="s">
        <v>36</v>
      </c>
      <c r="L23" s="20"/>
      <c r="M23" s="20"/>
      <c r="N23" s="16">
        <f>SUM(Sheet2!G3:G1002)</f>
        <v>428</v>
      </c>
    </row>
    <row r="24" spans="1:14" ht="15.6" x14ac:dyDescent="0.6">
      <c r="A24" s="6"/>
      <c r="B24" s="6"/>
      <c r="C24" s="7" t="s">
        <v>20</v>
      </c>
      <c r="D24" s="12">
        <v>5000</v>
      </c>
      <c r="E24" s="6"/>
      <c r="F24" s="6"/>
      <c r="G24" s="18"/>
      <c r="H24" s="18"/>
      <c r="I24" s="6"/>
      <c r="K24" s="20" t="s">
        <v>37</v>
      </c>
      <c r="L24" s="20"/>
      <c r="M24" s="20"/>
      <c r="N24" s="16">
        <f>COUNTIF(ROARange,"&lt;0")</f>
        <v>307</v>
      </c>
    </row>
    <row r="25" spans="1:14" ht="15.6" x14ac:dyDescent="0.6">
      <c r="A25" s="6"/>
      <c r="B25" s="6"/>
      <c r="C25" s="6"/>
      <c r="D25" s="6"/>
      <c r="E25" s="6"/>
      <c r="F25" s="6"/>
      <c r="G25" s="18"/>
      <c r="H25" s="18"/>
      <c r="I25" s="6"/>
      <c r="K25" s="20" t="s">
        <v>38</v>
      </c>
      <c r="L25" s="20"/>
      <c r="M25" s="20"/>
      <c r="N25" s="16">
        <f>COUNTIF(ROERange,"&lt;0")</f>
        <v>351</v>
      </c>
    </row>
    <row r="26" spans="1:14" ht="15.6" x14ac:dyDescent="0.6">
      <c r="A26" s="6" t="s">
        <v>22</v>
      </c>
      <c r="B26" s="6"/>
      <c r="C26" s="6"/>
      <c r="D26" s="6"/>
      <c r="E26" s="6"/>
      <c r="F26" s="6"/>
      <c r="G26" s="6"/>
      <c r="H26" s="6"/>
      <c r="I26" s="6"/>
    </row>
    <row r="27" spans="1:14" ht="15.6" x14ac:dyDescent="0.6">
      <c r="A27" s="6" t="s">
        <v>23</v>
      </c>
      <c r="B27" s="6"/>
      <c r="C27" s="6"/>
      <c r="D27" s="6"/>
      <c r="E27" s="6"/>
      <c r="F27" s="6"/>
      <c r="G27" s="6"/>
      <c r="H27" s="6"/>
      <c r="I27" s="6"/>
      <c r="K27" t="s">
        <v>40</v>
      </c>
    </row>
    <row r="28" spans="1:14" ht="15.6" x14ac:dyDescent="0.6">
      <c r="A28" s="6"/>
      <c r="B28" s="6"/>
      <c r="C28" s="6"/>
      <c r="D28" s="6"/>
      <c r="E28" s="6"/>
      <c r="F28" s="6"/>
      <c r="G28" s="6"/>
      <c r="H28" s="6"/>
      <c r="I28" s="6"/>
      <c r="K28" t="s">
        <v>34</v>
      </c>
    </row>
    <row r="29" spans="1:14" ht="15.6" x14ac:dyDescent="0.6">
      <c r="A29" s="6"/>
      <c r="B29" s="6"/>
      <c r="C29" s="7" t="s">
        <v>7</v>
      </c>
      <c r="D29" s="8">
        <f>IF(AND(G10="",G22=""),(D11+D12)/2,NA())</f>
        <v>9.9999999999999978E-2</v>
      </c>
      <c r="E29" s="6"/>
      <c r="F29" s="6"/>
      <c r="G29" s="6"/>
      <c r="H29" s="6"/>
      <c r="I29" s="6"/>
    </row>
    <row r="30" spans="1:14" ht="15.6" x14ac:dyDescent="0.6">
      <c r="A30" s="6"/>
      <c r="B30" s="6"/>
      <c r="C30" s="7" t="s">
        <v>8</v>
      </c>
      <c r="D30" s="8">
        <f>IF(AND(G10="",G22=""),(D11-D12)/(2*ABS(NORMSINV(0.005))),NA())</f>
        <v>0.19411224156473222</v>
      </c>
      <c r="E30" s="6"/>
      <c r="F30" s="6"/>
      <c r="G30" s="6"/>
      <c r="H30" s="6"/>
      <c r="I30" s="6"/>
    </row>
    <row r="31" spans="1:14" ht="15.6" x14ac:dyDescent="0.6">
      <c r="A31" s="6"/>
      <c r="B31" s="6"/>
      <c r="C31" s="9" t="s">
        <v>9</v>
      </c>
      <c r="D31" s="10">
        <f>D5-D24</f>
        <v>10000</v>
      </c>
      <c r="E31" s="6"/>
      <c r="F31" s="6"/>
      <c r="G31" s="6"/>
      <c r="H31" s="6"/>
      <c r="I31" s="6"/>
    </row>
    <row r="32" spans="1:14" ht="15.6" x14ac:dyDescent="0.6">
      <c r="A32" s="6"/>
      <c r="B32" s="6"/>
      <c r="C32" s="6"/>
      <c r="D32" s="6"/>
      <c r="E32" s="6"/>
      <c r="F32" s="6"/>
      <c r="G32" s="6"/>
      <c r="H32" s="6"/>
      <c r="I32" s="6"/>
    </row>
    <row r="33" spans="1:9" ht="15.6" x14ac:dyDescent="0.6">
      <c r="A33" s="6"/>
      <c r="B33" s="6"/>
      <c r="C33" s="9" t="s">
        <v>5</v>
      </c>
      <c r="D33" s="11">
        <f>D29+G33*D30</f>
        <v>-0.14631073500703054</v>
      </c>
      <c r="E33" s="6"/>
      <c r="F33" s="6" t="s">
        <v>14</v>
      </c>
      <c r="G33">
        <v>-1.268908818019554</v>
      </c>
      <c r="H33" s="6"/>
      <c r="I33" s="6"/>
    </row>
    <row r="34" spans="1:9" ht="15.6" x14ac:dyDescent="0.6">
      <c r="A34" s="6"/>
      <c r="B34" s="6"/>
      <c r="C34" s="6"/>
      <c r="D34" s="6"/>
      <c r="E34" s="6"/>
      <c r="F34" s="6"/>
      <c r="G34" s="6"/>
      <c r="H34" s="6"/>
      <c r="I34" s="6"/>
    </row>
    <row r="35" spans="1:9" ht="15.6" x14ac:dyDescent="0.6">
      <c r="A35" s="6"/>
      <c r="B35" s="6"/>
      <c r="C35" s="7" t="s">
        <v>21</v>
      </c>
      <c r="D35" s="11">
        <f>(D5*(1+D33)-D24*(1+D20))/D31-1</f>
        <v>-0.24946610251054568</v>
      </c>
      <c r="E35" s="6"/>
      <c r="F35" s="6"/>
      <c r="G35" s="6"/>
      <c r="H35" s="6"/>
      <c r="I35" s="6"/>
    </row>
    <row r="37" spans="1:9" x14ac:dyDescent="0.55000000000000004">
      <c r="A37" s="17" t="str">
        <f>IF(D35&gt;D33,"Return on your equity is higher than return on investment because the actual investment return turned out to be higher than the cost of the loan.","Return on your equity is lower than return on investment because the actual investment return turned out to be lower than the cost of the loan.")</f>
        <v>Return on your equity is lower than return on investment because the actual investment return turned out to be lower than the cost of the loan.</v>
      </c>
      <c r="B37" s="17"/>
      <c r="C37" s="17"/>
      <c r="D37" s="17"/>
      <c r="E37" s="17"/>
      <c r="F37" s="17"/>
      <c r="G37" s="17"/>
      <c r="H37" s="17"/>
      <c r="I37" s="17"/>
    </row>
    <row r="38" spans="1:9" x14ac:dyDescent="0.55000000000000004">
      <c r="A38" s="17"/>
      <c r="B38" s="17"/>
      <c r="C38" s="17"/>
      <c r="D38" s="17"/>
      <c r="E38" s="17"/>
      <c r="F38" s="17"/>
      <c r="G38" s="17"/>
      <c r="H38" s="17"/>
      <c r="I38" s="17"/>
    </row>
  </sheetData>
  <mergeCells count="8">
    <mergeCell ref="A37:I38"/>
    <mergeCell ref="G10:H13"/>
    <mergeCell ref="G22:H25"/>
    <mergeCell ref="K1:S1"/>
    <mergeCell ref="K23:M23"/>
    <mergeCell ref="K24:M24"/>
    <mergeCell ref="K25:M25"/>
    <mergeCell ref="A1:I1"/>
  </mergeCells>
  <conditionalFormatting sqref="G10:H13">
    <cfRule type="expression" dxfId="1" priority="2">
      <formula>NOT($G$10="")</formula>
    </cfRule>
  </conditionalFormatting>
  <conditionalFormatting sqref="G22:H25">
    <cfRule type="expression" dxfId="0" priority="1">
      <formula>NOT($G$22="")</formula>
    </cfRule>
  </conditionalFormatting>
  <dataValidations count="5">
    <dataValidation type="decimal" allowBlank="1" showInputMessage="1" showErrorMessage="1" error="Please enter a value between 0% and 20%." sqref="D20">
      <formula1>0</formula1>
      <formula2>0.2</formula2>
    </dataValidation>
    <dataValidation type="decimal" allowBlank="1" showInputMessage="1" showErrorMessage="1" error="You can borrow between 0 and the amount og initial investment." sqref="D24">
      <formula1>0</formula1>
      <formula2>$D$5</formula2>
    </dataValidation>
    <dataValidation type="decimal" allowBlank="1" showInputMessage="1" showErrorMessage="1" error="Please limit this value to between $10,000 and $50,000." sqref="D5">
      <formula1>10000</formula1>
      <formula2>50000</formula2>
    </dataValidation>
    <dataValidation type="decimal" allowBlank="1" showInputMessage="1" showErrorMessage="1" error="Please limit the highest return to between 5% and 200%." sqref="D11">
      <formula1>0.05</formula1>
      <formula2>2</formula2>
    </dataValidation>
    <dataValidation type="decimal" allowBlank="1" showInputMessage="1" showErrorMessage="1" error="Please limit the lowest return to between 10% and 100%." sqref="D12">
      <formula1>-1</formula1>
      <formula2>0.1</formula2>
    </dataValidation>
  </dataValidations>
  <pageMargins left="0.7" right="0.7" top="0.75" bottom="0.75" header="0.3" footer="0.3"/>
  <pageSetup orientation="portrait" horizontalDpi="200" verticalDpi="200" r:id="rId1"/>
  <colBreaks count="1" manualBreakCount="1">
    <brk id="1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1">
                <anchor moveWithCells="1" sizeWithCells="1">
                  <from>
                    <xdr:col>4</xdr:col>
                    <xdr:colOff>411480</xdr:colOff>
                    <xdr:row>31</xdr:row>
                    <xdr:rowOff>38100</xdr:rowOff>
                  </from>
                  <to>
                    <xdr:col>7</xdr:col>
                    <xdr:colOff>201930</xdr:colOff>
                    <xdr:row>34</xdr:row>
                    <xdr:rowOff>38100</xdr:rowOff>
                  </to>
                </anchor>
              </controlPr>
            </control>
          </mc:Choice>
        </mc:AlternateContent>
        <mc:AlternateContent xmlns:mc="http://schemas.openxmlformats.org/markup-compatibility/2006">
          <mc:Choice Requires="x14">
            <control shapeId="1026" r:id="rId5" name="Button 2">
              <controlPr defaultSize="0" print="0" autoFill="0" autoPict="0" macro="[0]!Macro2">
                <anchor moveWithCells="1" sizeWithCells="1">
                  <from>
                    <xdr:col>12</xdr:col>
                    <xdr:colOff>323850</xdr:colOff>
                    <xdr:row>28</xdr:row>
                    <xdr:rowOff>190500</xdr:rowOff>
                  </from>
                  <to>
                    <xdr:col>15</xdr:col>
                    <xdr:colOff>114300</xdr:colOff>
                    <xdr:row>31</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R1002"/>
  <sheetViews>
    <sheetView workbookViewId="0">
      <selection activeCell="D3" sqref="D3:D1002"/>
    </sheetView>
  </sheetViews>
  <sheetFormatPr defaultRowHeight="14.4" x14ac:dyDescent="0.55000000000000004"/>
  <cols>
    <col min="1" max="1" width="18.68359375" bestFit="1" customWidth="1"/>
    <col min="2" max="2" width="10.15625" bestFit="1" customWidth="1"/>
    <col min="9" max="9" width="11.83984375" bestFit="1" customWidth="1"/>
    <col min="14" max="14" width="9.15625" customWidth="1"/>
  </cols>
  <sheetData>
    <row r="2" spans="1:18" x14ac:dyDescent="0.55000000000000004">
      <c r="A2" s="4" t="s">
        <v>15</v>
      </c>
      <c r="B2" s="3">
        <f>Sheet1!D5</f>
        <v>15000</v>
      </c>
      <c r="D2" s="4" t="s">
        <v>14</v>
      </c>
      <c r="E2" s="4" t="s">
        <v>13</v>
      </c>
      <c r="F2" s="4" t="s">
        <v>10</v>
      </c>
      <c r="G2" s="4" t="s">
        <v>35</v>
      </c>
      <c r="J2" s="4" t="s">
        <v>13</v>
      </c>
      <c r="K2" s="4" t="s">
        <v>10</v>
      </c>
      <c r="N2" s="21" t="s">
        <v>13</v>
      </c>
      <c r="O2" s="21"/>
      <c r="Q2" s="21" t="s">
        <v>10</v>
      </c>
      <c r="R2" s="21"/>
    </row>
    <row r="3" spans="1:18" x14ac:dyDescent="0.55000000000000004">
      <c r="A3" s="4" t="s">
        <v>11</v>
      </c>
      <c r="B3" s="2">
        <f>Sheet1!D29</f>
        <v>9.9999999999999978E-2</v>
      </c>
      <c r="D3">
        <v>-0.68468125391518697</v>
      </c>
      <c r="E3" s="5">
        <f>$B$3+D3*$B$4</f>
        <v>-3.2905012954828561E-2</v>
      </c>
      <c r="F3" s="5">
        <f>($B$2*(1+E3)-$B$5*(1+$B$6))/$B$7-1</f>
        <v>-7.9357519432242785E-2</v>
      </c>
      <c r="G3">
        <f>IF(F3&lt;E3,1,0)</f>
        <v>1</v>
      </c>
      <c r="I3" t="s">
        <v>29</v>
      </c>
      <c r="J3" s="2">
        <f>MIN(ROARange)</f>
        <v>-0.48539184016808734</v>
      </c>
      <c r="K3" s="2">
        <f>MIN(ROERange)</f>
        <v>-0.75808776025213098</v>
      </c>
      <c r="N3" s="2">
        <f>J3+J7</f>
        <v>-0.45531720726773206</v>
      </c>
      <c r="O3">
        <f t="array" ref="O3">SUM(IF(ROARange&lt;N3-$J$7,0,IF(ROARange&gt;N3+$J$7,0,1)))</f>
        <v>2</v>
      </c>
      <c r="Q3" s="2">
        <f>K3+K7</f>
        <v>-0.71297581090159812</v>
      </c>
      <c r="R3">
        <f t="array" ref="R3">SUM(IF(ROERange&lt;Q3-$K$7,0,IF(ROERange&gt;Q3+$K$7,0,1)))</f>
        <v>2</v>
      </c>
    </row>
    <row r="4" spans="1:18" x14ac:dyDescent="0.55000000000000004">
      <c r="A4" s="4" t="s">
        <v>12</v>
      </c>
      <c r="B4" s="2">
        <f>Sheet1!D30</f>
        <v>0.19411224156473222</v>
      </c>
      <c r="D4">
        <v>3.7607605918310583E-2</v>
      </c>
      <c r="E4" s="5">
        <f t="shared" ref="E4:E67" si="0">$B$3+D4*$B$4</f>
        <v>0.10730009668468633</v>
      </c>
      <c r="F4" s="5">
        <f t="shared" ref="F4:F67" si="1">($B$2*(1+E4)-$B$5*(1+$B$6))/$B$7-1</f>
        <v>0.13095014502702984</v>
      </c>
      <c r="G4">
        <f t="shared" ref="G4:G67" si="2">IF(F4&lt;E4,1,0)</f>
        <v>0</v>
      </c>
      <c r="I4" t="s">
        <v>30</v>
      </c>
      <c r="J4" s="2">
        <f>MAX(ROARange)</f>
        <v>0.71759347584612332</v>
      </c>
      <c r="K4" s="2">
        <f>MAX(ROERange)</f>
        <v>1.0463902137691852</v>
      </c>
      <c r="N4" s="2">
        <f t="shared" ref="N4:N22" si="3">N3+$J$6</f>
        <v>-0.3951679414670215</v>
      </c>
      <c r="O4">
        <f t="array" ref="O4">SUM(IF(ROARange&lt;N4-$J$7,0,IF(ROARange&gt;N4+$J$7,0,1)))</f>
        <v>4</v>
      </c>
      <c r="Q4" s="2">
        <f t="shared" ref="Q4:Q22" si="4">Q3+$K$6</f>
        <v>-0.62275191220053228</v>
      </c>
      <c r="R4">
        <f t="array" ref="R4">SUM(IF(ROERange&lt;Q4-$K$7,0,IF(ROERange&gt;Q4+$K$7,0,1)))</f>
        <v>4</v>
      </c>
    </row>
    <row r="5" spans="1:18" x14ac:dyDescent="0.55000000000000004">
      <c r="A5" s="4" t="s">
        <v>16</v>
      </c>
      <c r="B5" s="3">
        <f>Sheet1!D24</f>
        <v>5000</v>
      </c>
      <c r="D5">
        <v>2.0146035240031779</v>
      </c>
      <c r="E5" s="5">
        <f t="shared" si="0"/>
        <v>0.49105920590846563</v>
      </c>
      <c r="F5" s="5">
        <f t="shared" si="1"/>
        <v>0.70658880886269881</v>
      </c>
      <c r="G5">
        <f t="shared" si="2"/>
        <v>0</v>
      </c>
      <c r="I5" t="s">
        <v>33</v>
      </c>
      <c r="J5" s="21">
        <v>20</v>
      </c>
      <c r="K5" s="21"/>
      <c r="N5" s="2">
        <f t="shared" si="3"/>
        <v>-0.33501867566631094</v>
      </c>
      <c r="O5">
        <f t="array" ref="O5">SUM(IF(ROARange&lt;N5-$J$7,0,IF(ROARange&gt;N5+$J$7,0,1)))</f>
        <v>9</v>
      </c>
      <c r="Q5" s="2">
        <f t="shared" si="4"/>
        <v>-0.53252801349946643</v>
      </c>
      <c r="R5">
        <f t="array" ref="R5">SUM(IF(ROERange&lt;Q5-$K$7,0,IF(ROERange&gt;Q5+$K$7,0,1)))</f>
        <v>9</v>
      </c>
    </row>
    <row r="6" spans="1:18" x14ac:dyDescent="0.55000000000000004">
      <c r="A6" s="4" t="s">
        <v>17</v>
      </c>
      <c r="B6" s="1">
        <f>Sheet1!D20</f>
        <v>0.06</v>
      </c>
      <c r="D6">
        <v>1.4766283129574731</v>
      </c>
      <c r="E6" s="5">
        <f t="shared" si="0"/>
        <v>0.38663163178612403</v>
      </c>
      <c r="F6" s="5">
        <f t="shared" si="1"/>
        <v>0.54994744767918591</v>
      </c>
      <c r="G6">
        <f t="shared" si="2"/>
        <v>0</v>
      </c>
      <c r="I6" t="s">
        <v>31</v>
      </c>
      <c r="J6" s="5">
        <f>(J4-J3)/$J$5</f>
        <v>6.014926580071054E-2</v>
      </c>
      <c r="K6" s="5">
        <f>(K4-K3)/$J$5</f>
        <v>9.0223898701065813E-2</v>
      </c>
      <c r="N6" s="2">
        <f t="shared" si="3"/>
        <v>-0.27486940986560038</v>
      </c>
      <c r="O6">
        <f t="array" ref="O6">SUM(IF(ROARange&lt;N6-$J$7,0,IF(ROARange&gt;N6+$J$7,0,1)))</f>
        <v>20</v>
      </c>
      <c r="Q6" s="2">
        <f t="shared" si="4"/>
        <v>-0.44230411479840059</v>
      </c>
      <c r="R6">
        <f t="array" ref="R6">SUM(IF(ROERange&lt;Q6-$K$7,0,IF(ROERange&gt;Q6+$K$7,0,1)))</f>
        <v>20</v>
      </c>
    </row>
    <row r="7" spans="1:18" x14ac:dyDescent="0.55000000000000004">
      <c r="A7" s="4" t="s">
        <v>18</v>
      </c>
      <c r="B7" s="3">
        <f>Sheet1!D31</f>
        <v>10000</v>
      </c>
      <c r="D7">
        <v>-1.1835800250992179</v>
      </c>
      <c r="E7" s="5">
        <f t="shared" si="0"/>
        <v>-0.12974737174325124</v>
      </c>
      <c r="F7" s="5">
        <f t="shared" si="1"/>
        <v>-0.22462105761487694</v>
      </c>
      <c r="G7">
        <f t="shared" si="2"/>
        <v>1</v>
      </c>
      <c r="I7" s="4" t="s">
        <v>32</v>
      </c>
      <c r="J7" s="5">
        <f>J6/2</f>
        <v>3.007463290035527E-2</v>
      </c>
      <c r="K7" s="5">
        <f>K6/2</f>
        <v>4.5111949350532907E-2</v>
      </c>
      <c r="N7" s="2">
        <f t="shared" si="3"/>
        <v>-0.21472014406488985</v>
      </c>
      <c r="O7">
        <f t="array" ref="O7">SUM(IF(ROARange&lt;N7-$J$7,0,IF(ROARange&gt;N7+$J$7,0,1)))</f>
        <v>39</v>
      </c>
      <c r="Q7" s="2">
        <f t="shared" si="4"/>
        <v>-0.35208021609733475</v>
      </c>
      <c r="R7">
        <f t="array" ref="R7">SUM(IF(ROERange&lt;Q7-$K$7,0,IF(ROERange&gt;Q7+$K$7,0,1)))</f>
        <v>39</v>
      </c>
    </row>
    <row r="8" spans="1:18" x14ac:dyDescent="0.55000000000000004">
      <c r="D8">
        <v>0.57305669542984106</v>
      </c>
      <c r="E8" s="5">
        <f t="shared" si="0"/>
        <v>0.21123731969356446</v>
      </c>
      <c r="F8" s="5">
        <f t="shared" si="1"/>
        <v>0.28685597954034669</v>
      </c>
      <c r="G8">
        <f t="shared" si="2"/>
        <v>0</v>
      </c>
      <c r="N8" s="2">
        <f t="shared" si="3"/>
        <v>-0.15457087826417931</v>
      </c>
      <c r="O8">
        <f t="array" ref="O8">SUM(IF(ROARange&lt;N8-$J$7,0,IF(ROARange&gt;N8+$J$7,0,1)))</f>
        <v>52</v>
      </c>
      <c r="Q8" s="2">
        <f t="shared" si="4"/>
        <v>-0.26185631739626891</v>
      </c>
      <c r="R8">
        <f t="array" ref="R8">SUM(IF(ROERange&lt;Q8-$K$7,0,IF(ROERange&gt;Q8+$K$7,0,1)))</f>
        <v>52</v>
      </c>
    </row>
    <row r="9" spans="1:18" x14ac:dyDescent="0.55000000000000004">
      <c r="D9">
        <v>-1.7138791008619592</v>
      </c>
      <c r="E9" s="5">
        <f t="shared" si="0"/>
        <v>-0.23268491403926272</v>
      </c>
      <c r="F9" s="5">
        <f t="shared" si="1"/>
        <v>-0.37902737105889406</v>
      </c>
      <c r="G9">
        <f t="shared" si="2"/>
        <v>1</v>
      </c>
      <c r="N9" s="2">
        <f t="shared" si="3"/>
        <v>-9.4421612463468779E-2</v>
      </c>
      <c r="O9">
        <f t="array" ref="O9">SUM(IF(ROARange&lt;N9-$J$7,0,IF(ROARange&gt;N9+$J$7,0,1)))</f>
        <v>86</v>
      </c>
      <c r="Q9" s="2">
        <f t="shared" si="4"/>
        <v>-0.1716324186952031</v>
      </c>
      <c r="R9">
        <f t="array" ref="R9">SUM(IF(ROERange&lt;Q9-$K$7,0,IF(ROERange&gt;Q9+$K$7,0,1)))</f>
        <v>86</v>
      </c>
    </row>
    <row r="10" spans="1:18" x14ac:dyDescent="0.55000000000000004">
      <c r="D10">
        <v>-0.34341724131081719</v>
      </c>
      <c r="E10" s="5">
        <f t="shared" si="0"/>
        <v>3.3338509497180688E-2</v>
      </c>
      <c r="F10" s="5">
        <f t="shared" si="1"/>
        <v>2.0007764245770998E-2</v>
      </c>
      <c r="G10">
        <f t="shared" si="2"/>
        <v>1</v>
      </c>
      <c r="N10" s="2">
        <f t="shared" si="3"/>
        <v>-3.4272346662758239E-2</v>
      </c>
      <c r="O10">
        <f t="array" ref="O10">SUM(IF(ROARange&lt;N10-$J$7,0,IF(ROARange&gt;N10+$J$7,0,1)))</f>
        <v>92</v>
      </c>
      <c r="Q10" s="2">
        <f t="shared" si="4"/>
        <v>-8.1408519994137285E-2</v>
      </c>
      <c r="R10">
        <f t="array" ref="R10">SUM(IF(ROERange&lt;Q10-$K$7,0,IF(ROERange&gt;Q10+$K$7,0,1)))</f>
        <v>92</v>
      </c>
    </row>
    <row r="11" spans="1:18" x14ac:dyDescent="0.55000000000000004">
      <c r="D11">
        <v>2.3157917894423008</v>
      </c>
      <c r="E11" s="5">
        <f t="shared" si="0"/>
        <v>0.54952353524584741</v>
      </c>
      <c r="F11" s="5">
        <f t="shared" si="1"/>
        <v>0.79428530286877108</v>
      </c>
      <c r="G11">
        <f t="shared" si="2"/>
        <v>0</v>
      </c>
      <c r="N11" s="2">
        <f t="shared" si="3"/>
        <v>2.5876919137952301E-2</v>
      </c>
      <c r="O11">
        <f t="array" ref="O11">SUM(IF(ROARange&lt;N11-$J$7,0,IF(ROARange&gt;N11+$J$7,0,1)))</f>
        <v>116</v>
      </c>
      <c r="Q11" s="2">
        <f t="shared" si="4"/>
        <v>8.8153787069285283E-3</v>
      </c>
      <c r="R11">
        <f t="array" ref="R11">SUM(IF(ROERange&lt;Q11-$K$7,0,IF(ROERange&gt;Q11+$K$7,0,1)))</f>
        <v>116</v>
      </c>
    </row>
    <row r="12" spans="1:18" x14ac:dyDescent="0.55000000000000004">
      <c r="D12">
        <v>-0.38157054405019153</v>
      </c>
      <c r="E12" s="5">
        <f t="shared" si="0"/>
        <v>2.5932486379342895E-2</v>
      </c>
      <c r="F12" s="5">
        <f t="shared" si="1"/>
        <v>8.8987295690143853E-3</v>
      </c>
      <c r="G12">
        <f t="shared" si="2"/>
        <v>1</v>
      </c>
      <c r="N12" s="2">
        <f t="shared" si="3"/>
        <v>8.6026184938662847E-2</v>
      </c>
      <c r="O12">
        <f t="array" ref="O12">SUM(IF(ROARange&lt;N12-$J$7,0,IF(ROARange&gt;N12+$J$7,0,1)))</f>
        <v>123</v>
      </c>
      <c r="Q12" s="2">
        <f t="shared" si="4"/>
        <v>9.9039277407994342E-2</v>
      </c>
      <c r="R12">
        <f t="array" ref="R12">SUM(IF(ROERange&lt;Q12-$K$7,0,IF(ROERange&gt;Q12+$K$7,0,1)))</f>
        <v>123</v>
      </c>
    </row>
    <row r="13" spans="1:18" x14ac:dyDescent="0.55000000000000004">
      <c r="D13">
        <v>-1.71788087754976</v>
      </c>
      <c r="E13" s="5">
        <f t="shared" si="0"/>
        <v>-0.23346170788237325</v>
      </c>
      <c r="F13" s="5">
        <f t="shared" si="1"/>
        <v>-0.38019256182355998</v>
      </c>
      <c r="G13">
        <f t="shared" si="2"/>
        <v>1</v>
      </c>
      <c r="N13" s="2">
        <f t="shared" si="3"/>
        <v>0.14617545073937338</v>
      </c>
      <c r="O13">
        <f t="array" ref="O13">SUM(IF(ROARange&lt;N13-$J$7,0,IF(ROARange&gt;N13+$J$7,0,1)))</f>
        <v>117</v>
      </c>
      <c r="Q13" s="2">
        <f t="shared" si="4"/>
        <v>0.18926317610906015</v>
      </c>
      <c r="R13">
        <f t="array" ref="R13">SUM(IF(ROERange&lt;Q13-$K$7,0,IF(ROERange&gt;Q13+$K$7,0,1)))</f>
        <v>117</v>
      </c>
    </row>
    <row r="14" spans="1:18" x14ac:dyDescent="0.55000000000000004">
      <c r="D14">
        <v>0.53726807891507633</v>
      </c>
      <c r="E14" s="5">
        <f t="shared" si="0"/>
        <v>0.20429031111938289</v>
      </c>
      <c r="F14" s="5">
        <f t="shared" si="1"/>
        <v>0.2764354666790747</v>
      </c>
      <c r="G14">
        <f t="shared" si="2"/>
        <v>0</v>
      </c>
      <c r="N14" s="2">
        <f t="shared" si="3"/>
        <v>0.20632471654008391</v>
      </c>
      <c r="O14">
        <f t="array" ref="O14">SUM(IF(ROARange&lt;N14-$J$7,0,IF(ROARange&gt;N14+$J$7,0,1)))</f>
        <v>107</v>
      </c>
      <c r="Q14" s="2">
        <f t="shared" si="4"/>
        <v>0.27948707481012597</v>
      </c>
      <c r="R14">
        <f t="array" ref="R14">SUM(IF(ROERange&lt;Q14-$K$7,0,IF(ROERange&gt;Q14+$K$7,0,1)))</f>
        <v>107</v>
      </c>
    </row>
    <row r="15" spans="1:18" x14ac:dyDescent="0.55000000000000004">
      <c r="D15">
        <v>0.89178456619265489</v>
      </c>
      <c r="E15" s="5">
        <f t="shared" si="0"/>
        <v>0.27310630113648854</v>
      </c>
      <c r="F15" s="5">
        <f t="shared" si="1"/>
        <v>0.3796594517047327</v>
      </c>
      <c r="G15">
        <f t="shared" si="2"/>
        <v>0</v>
      </c>
      <c r="N15" s="2">
        <f t="shared" si="3"/>
        <v>0.26647398234079445</v>
      </c>
      <c r="O15">
        <f t="array" ref="O15">SUM(IF(ROARange&lt;N15-$J$7,0,IF(ROARange&gt;N15+$J$7,0,1)))</f>
        <v>90</v>
      </c>
      <c r="Q15" s="2">
        <f t="shared" si="4"/>
        <v>0.36971097351119175</v>
      </c>
      <c r="R15">
        <f t="array" ref="R15">SUM(IF(ROERange&lt;Q15-$K$7,0,IF(ROERange&gt;Q15+$K$7,0,1)))</f>
        <v>90</v>
      </c>
    </row>
    <row r="16" spans="1:18" x14ac:dyDescent="0.55000000000000004">
      <c r="D16">
        <v>0.83329950939514674</v>
      </c>
      <c r="E16" s="5">
        <f t="shared" si="0"/>
        <v>0.26175363566348353</v>
      </c>
      <c r="F16" s="5">
        <f t="shared" si="1"/>
        <v>0.36263045349522538</v>
      </c>
      <c r="G16">
        <f t="shared" si="2"/>
        <v>0</v>
      </c>
      <c r="N16" s="2">
        <f t="shared" si="3"/>
        <v>0.32662324814150501</v>
      </c>
      <c r="O16">
        <f t="array" ref="O16">SUM(IF(ROARange&lt;N16-$J$7,0,IF(ROARange&gt;N16+$J$7,0,1)))</f>
        <v>59</v>
      </c>
      <c r="Q16" s="2">
        <f t="shared" si="4"/>
        <v>0.45993487221225759</v>
      </c>
      <c r="R16">
        <f t="array" ref="R16">SUM(IF(ROERange&lt;Q16-$K$7,0,IF(ROERange&gt;Q16+$K$7,0,1)))</f>
        <v>59</v>
      </c>
    </row>
    <row r="17" spans="4:18" x14ac:dyDescent="0.55000000000000004">
      <c r="D17">
        <v>0.3336958798172418</v>
      </c>
      <c r="E17" s="5">
        <f t="shared" si="0"/>
        <v>0.16477445523224027</v>
      </c>
      <c r="F17" s="5">
        <f t="shared" si="1"/>
        <v>0.21716168284836068</v>
      </c>
      <c r="G17">
        <f t="shared" si="2"/>
        <v>0</v>
      </c>
      <c r="N17" s="2">
        <f t="shared" si="3"/>
        <v>0.38677251394221557</v>
      </c>
      <c r="O17">
        <f t="array" ref="O17">SUM(IF(ROARange&lt;N17-$J$7,0,IF(ROARange&gt;N17+$J$7,0,1)))</f>
        <v>45</v>
      </c>
      <c r="Q17" s="2">
        <f t="shared" si="4"/>
        <v>0.55015877091332344</v>
      </c>
      <c r="R17">
        <f t="array" ref="R17">SUM(IF(ROERange&lt;Q17-$K$7,0,IF(ROERange&gt;Q17+$K$7,0,1)))</f>
        <v>45</v>
      </c>
    </row>
    <row r="18" spans="4:18" x14ac:dyDescent="0.55000000000000004">
      <c r="D18">
        <v>-1.1925658327527344</v>
      </c>
      <c r="E18" s="5">
        <f t="shared" si="0"/>
        <v>-0.13149162700914485</v>
      </c>
      <c r="F18" s="5">
        <f t="shared" si="1"/>
        <v>-0.22723744051371719</v>
      </c>
      <c r="G18">
        <f t="shared" si="2"/>
        <v>1</v>
      </c>
      <c r="N18" s="2">
        <f t="shared" si="3"/>
        <v>0.44692177974292613</v>
      </c>
      <c r="O18">
        <f t="array" ref="O18">SUM(IF(ROARange&lt;N18-$J$7,0,IF(ROARange&gt;N18+$J$7,0,1)))</f>
        <v>18</v>
      </c>
      <c r="Q18" s="2">
        <f t="shared" si="4"/>
        <v>0.64038266961438928</v>
      </c>
      <c r="R18">
        <f t="array" ref="R18">SUM(IF(ROERange&lt;Q18-$K$7,0,IF(ROERange&gt;Q18+$K$7,0,1)))</f>
        <v>18</v>
      </c>
    </row>
    <row r="19" spans="4:18" x14ac:dyDescent="0.55000000000000004">
      <c r="D19">
        <v>-0.89269406089442782</v>
      </c>
      <c r="E19" s="5">
        <f t="shared" si="0"/>
        <v>-7.328284519174097E-2</v>
      </c>
      <c r="F19" s="5">
        <f t="shared" si="1"/>
        <v>-0.13992426778761147</v>
      </c>
      <c r="G19">
        <f t="shared" si="2"/>
        <v>1</v>
      </c>
      <c r="N19" s="2">
        <f t="shared" si="3"/>
        <v>0.50707104554363669</v>
      </c>
      <c r="O19">
        <f t="array" ref="O19">SUM(IF(ROARange&lt;N19-$J$7,0,IF(ROARange&gt;N19+$J$7,0,1)))</f>
        <v>9</v>
      </c>
      <c r="Q19" s="2">
        <f t="shared" si="4"/>
        <v>0.73060656831545512</v>
      </c>
      <c r="R19">
        <f t="array" ref="R19">SUM(IF(ROERange&lt;Q19-$K$7,0,IF(ROERange&gt;Q19+$K$7,0,1)))</f>
        <v>9</v>
      </c>
    </row>
    <row r="20" spans="4:18" x14ac:dyDescent="0.55000000000000004">
      <c r="D20">
        <v>-0.12382315617287531</v>
      </c>
      <c r="E20" s="5">
        <f t="shared" si="0"/>
        <v>7.5964409597663235E-2</v>
      </c>
      <c r="F20" s="5">
        <f t="shared" si="1"/>
        <v>8.3946614396494867E-2</v>
      </c>
      <c r="G20">
        <f t="shared" si="2"/>
        <v>0</v>
      </c>
      <c r="N20" s="2">
        <f t="shared" si="3"/>
        <v>0.56722031134434725</v>
      </c>
      <c r="O20">
        <f t="array" ref="O20">SUM(IF(ROARange&lt;N20-$J$7,0,IF(ROARange&gt;N20+$J$7,0,1)))</f>
        <v>8</v>
      </c>
      <c r="Q20" s="2">
        <f t="shared" si="4"/>
        <v>0.82083046701652096</v>
      </c>
      <c r="R20">
        <f t="array" ref="R20">SUM(IF(ROERange&lt;Q20-$K$7,0,IF(ROERange&gt;Q20+$K$7,0,1)))</f>
        <v>8</v>
      </c>
    </row>
    <row r="21" spans="4:18" x14ac:dyDescent="0.55000000000000004">
      <c r="D21">
        <v>0.18779246602207422</v>
      </c>
      <c r="E21" s="5">
        <f t="shared" si="0"/>
        <v>0.13645281652851363</v>
      </c>
      <c r="F21" s="5">
        <f t="shared" si="1"/>
        <v>0.17467922479277043</v>
      </c>
      <c r="G21">
        <f t="shared" si="2"/>
        <v>0</v>
      </c>
      <c r="N21" s="2">
        <f t="shared" si="3"/>
        <v>0.62736957714505781</v>
      </c>
      <c r="O21">
        <f t="array" ref="O21">SUM(IF(ROARange&lt;N21-$J$7,0,IF(ROARange&gt;N21+$J$7,0,1)))</f>
        <v>2</v>
      </c>
      <c r="Q21" s="2">
        <f t="shared" si="4"/>
        <v>0.9110543657175868</v>
      </c>
      <c r="R21">
        <f t="array" ref="R21">SUM(IF(ROERange&lt;Q21-$K$7,0,IF(ROERange&gt;Q21+$K$7,0,1)))</f>
        <v>2</v>
      </c>
    </row>
    <row r="22" spans="4:18" x14ac:dyDescent="0.55000000000000004">
      <c r="D22">
        <v>1.5338582670665346</v>
      </c>
      <c r="E22" s="5">
        <f t="shared" si="0"/>
        <v>0.3977406664628807</v>
      </c>
      <c r="F22" s="5">
        <f t="shared" si="1"/>
        <v>0.56661099969432116</v>
      </c>
      <c r="G22">
        <f t="shared" si="2"/>
        <v>0</v>
      </c>
      <c r="N22" s="2">
        <f t="shared" si="3"/>
        <v>0.68751884294576837</v>
      </c>
      <c r="O22">
        <f t="array" ref="O22">SUM(IF(ROARange&lt;N22-$J$7,0,IF(ROARange&gt;N22+$J$7,0,1)))</f>
        <v>2</v>
      </c>
      <c r="Q22" s="2">
        <f t="shared" si="4"/>
        <v>1.0012782644186526</v>
      </c>
      <c r="R22">
        <f t="array" ref="R22">SUM(IF(ROERange&lt;Q22-$K$7,0,IF(ROERange&gt;Q22+$K$7,0,1)))</f>
        <v>2</v>
      </c>
    </row>
    <row r="23" spans="4:18" x14ac:dyDescent="0.55000000000000004">
      <c r="D23">
        <v>0.47500293476332445</v>
      </c>
      <c r="E23" s="5">
        <f t="shared" si="0"/>
        <v>0.19220388441673514</v>
      </c>
      <c r="F23" s="5">
        <f t="shared" si="1"/>
        <v>0.25830582662510282</v>
      </c>
      <c r="G23">
        <f t="shared" si="2"/>
        <v>0</v>
      </c>
      <c r="N23" s="2"/>
    </row>
    <row r="24" spans="4:18" x14ac:dyDescent="0.55000000000000004">
      <c r="D24">
        <v>-0.4263108621671563</v>
      </c>
      <c r="E24" s="5">
        <f t="shared" si="0"/>
        <v>1.7247842941339672E-2</v>
      </c>
      <c r="F24" s="5">
        <f t="shared" si="1"/>
        <v>-4.1282355879906918E-3</v>
      </c>
      <c r="G24">
        <f t="shared" si="2"/>
        <v>1</v>
      </c>
      <c r="N24" s="2"/>
    </row>
    <row r="25" spans="4:18" x14ac:dyDescent="0.55000000000000004">
      <c r="D25">
        <v>-1.7062893675756641</v>
      </c>
      <c r="E25" s="5">
        <f t="shared" si="0"/>
        <v>-0.23121165389818149</v>
      </c>
      <c r="F25" s="5">
        <f t="shared" si="1"/>
        <v>-0.37681748084727229</v>
      </c>
      <c r="G25">
        <f t="shared" si="2"/>
        <v>1</v>
      </c>
    </row>
    <row r="26" spans="4:18" x14ac:dyDescent="0.55000000000000004">
      <c r="D26">
        <v>-0.17667048268776853</v>
      </c>
      <c r="E26" s="5">
        <f t="shared" si="0"/>
        <v>6.5706096587154011E-2</v>
      </c>
      <c r="F26" s="5">
        <f t="shared" si="1"/>
        <v>6.8559144880731226E-2</v>
      </c>
      <c r="G26">
        <f t="shared" si="2"/>
        <v>0</v>
      </c>
    </row>
    <row r="27" spans="4:18" x14ac:dyDescent="0.55000000000000004">
      <c r="D27">
        <v>0.52282985052443109</v>
      </c>
      <c r="E27" s="5">
        <f t="shared" si="0"/>
        <v>0.20148767424225117</v>
      </c>
      <c r="F27" s="5">
        <f t="shared" si="1"/>
        <v>0.27223151136337664</v>
      </c>
      <c r="G27">
        <f t="shared" si="2"/>
        <v>0</v>
      </c>
    </row>
    <row r="28" spans="4:18" x14ac:dyDescent="0.55000000000000004">
      <c r="D28">
        <v>-0.80558152149023954</v>
      </c>
      <c r="E28" s="5">
        <f t="shared" si="0"/>
        <v>-5.6373234899597918E-2</v>
      </c>
      <c r="F28" s="5">
        <f t="shared" si="1"/>
        <v>-0.11455985234939692</v>
      </c>
      <c r="G28">
        <f t="shared" si="2"/>
        <v>1</v>
      </c>
    </row>
    <row r="29" spans="4:18" x14ac:dyDescent="0.55000000000000004">
      <c r="D29">
        <v>-0.21159507923584897</v>
      </c>
      <c r="E29" s="5">
        <f t="shared" si="0"/>
        <v>5.8926804865462208E-2</v>
      </c>
      <c r="F29" s="5">
        <f t="shared" si="1"/>
        <v>5.8390207298193442E-2</v>
      </c>
      <c r="G29">
        <f t="shared" si="2"/>
        <v>1</v>
      </c>
    </row>
    <row r="30" spans="4:18" x14ac:dyDescent="0.55000000000000004">
      <c r="D30">
        <v>2.4531618691980839</v>
      </c>
      <c r="E30" s="5">
        <f t="shared" si="0"/>
        <v>0.57618874935116848</v>
      </c>
      <c r="F30" s="5">
        <f t="shared" si="1"/>
        <v>0.83428312402675253</v>
      </c>
      <c r="G30">
        <f t="shared" si="2"/>
        <v>0</v>
      </c>
    </row>
    <row r="31" spans="4:18" x14ac:dyDescent="0.55000000000000004">
      <c r="D31">
        <v>1.6452531781396829</v>
      </c>
      <c r="E31" s="5">
        <f t="shared" si="0"/>
        <v>0.4193637823501935</v>
      </c>
      <c r="F31" s="5">
        <f t="shared" si="1"/>
        <v>0.59904567352529003</v>
      </c>
      <c r="G31">
        <f t="shared" si="2"/>
        <v>0</v>
      </c>
    </row>
    <row r="32" spans="4:18" x14ac:dyDescent="0.55000000000000004">
      <c r="D32">
        <v>0.53629605645255651</v>
      </c>
      <c r="E32" s="5">
        <f t="shared" si="0"/>
        <v>0.20410162966033191</v>
      </c>
      <c r="F32" s="5">
        <f t="shared" si="1"/>
        <v>0.27615244449049792</v>
      </c>
      <c r="G32">
        <f t="shared" si="2"/>
        <v>0</v>
      </c>
    </row>
    <row r="33" spans="4:7" x14ac:dyDescent="0.55000000000000004">
      <c r="D33">
        <v>-2.6297493604943156</v>
      </c>
      <c r="E33" s="5">
        <f t="shared" si="0"/>
        <v>-0.41046654311897268</v>
      </c>
      <c r="F33" s="5">
        <f t="shared" si="1"/>
        <v>-0.64569981467845894</v>
      </c>
      <c r="G33">
        <f t="shared" si="2"/>
        <v>1</v>
      </c>
    </row>
    <row r="34" spans="4:7" x14ac:dyDescent="0.55000000000000004">
      <c r="D34">
        <v>0.25198914954671636</v>
      </c>
      <c r="E34" s="5">
        <f t="shared" si="0"/>
        <v>0.14891417866850362</v>
      </c>
      <c r="F34" s="5">
        <f t="shared" si="1"/>
        <v>0.1933712680027555</v>
      </c>
      <c r="G34">
        <f t="shared" si="2"/>
        <v>0</v>
      </c>
    </row>
    <row r="35" spans="4:7" x14ac:dyDescent="0.55000000000000004">
      <c r="D35">
        <v>-0.59008698372053914</v>
      </c>
      <c r="E35" s="5">
        <f t="shared" si="0"/>
        <v>-1.4543107128165533E-2</v>
      </c>
      <c r="F35" s="5">
        <f t="shared" si="1"/>
        <v>-5.1814660692248271E-2</v>
      </c>
      <c r="G35">
        <f t="shared" si="2"/>
        <v>1</v>
      </c>
    </row>
    <row r="36" spans="4:7" x14ac:dyDescent="0.55000000000000004">
      <c r="D36">
        <v>8.7993612396530807E-4</v>
      </c>
      <c r="E36" s="5">
        <f t="shared" si="0"/>
        <v>0.10017080637345667</v>
      </c>
      <c r="F36" s="5">
        <f t="shared" si="1"/>
        <v>0.12025620956018512</v>
      </c>
      <c r="G36">
        <f t="shared" si="2"/>
        <v>0</v>
      </c>
    </row>
    <row r="37" spans="4:7" x14ac:dyDescent="0.55000000000000004">
      <c r="D37">
        <v>0.29751163310720585</v>
      </c>
      <c r="E37" s="5">
        <f t="shared" si="0"/>
        <v>0.15775064999402391</v>
      </c>
      <c r="F37" s="5">
        <f t="shared" si="1"/>
        <v>0.20662597499103619</v>
      </c>
      <c r="G37">
        <f t="shared" si="2"/>
        <v>0</v>
      </c>
    </row>
    <row r="38" spans="4:7" x14ac:dyDescent="0.55000000000000004">
      <c r="D38">
        <v>0.65557060224818997</v>
      </c>
      <c r="E38" s="5">
        <f t="shared" si="0"/>
        <v>0.22725427910633761</v>
      </c>
      <c r="F38" s="5">
        <f t="shared" si="1"/>
        <v>0.31088141865950636</v>
      </c>
      <c r="G38">
        <f t="shared" si="2"/>
        <v>0</v>
      </c>
    </row>
    <row r="39" spans="4:7" x14ac:dyDescent="0.55000000000000004">
      <c r="D39">
        <v>1.5370915207313374</v>
      </c>
      <c r="E39" s="5">
        <f t="shared" si="0"/>
        <v>0.39836828057930296</v>
      </c>
      <c r="F39" s="5">
        <f t="shared" si="1"/>
        <v>0.56755242086895441</v>
      </c>
      <c r="G39">
        <f t="shared" si="2"/>
        <v>0</v>
      </c>
    </row>
    <row r="40" spans="4:7" x14ac:dyDescent="0.55000000000000004">
      <c r="D40">
        <v>-1.1989777704002336</v>
      </c>
      <c r="E40" s="5">
        <f t="shared" si="0"/>
        <v>-0.13273626259867422</v>
      </c>
      <c r="F40" s="5">
        <f t="shared" si="1"/>
        <v>-0.2291043938980114</v>
      </c>
      <c r="G40">
        <f t="shared" si="2"/>
        <v>1</v>
      </c>
    </row>
    <row r="41" spans="4:7" x14ac:dyDescent="0.55000000000000004">
      <c r="D41">
        <v>-0.37491417970159091</v>
      </c>
      <c r="E41" s="5">
        <f t="shared" si="0"/>
        <v>2.7224568183721334E-2</v>
      </c>
      <c r="F41" s="5">
        <f t="shared" si="1"/>
        <v>1.0836852275581954E-2</v>
      </c>
      <c r="G41">
        <f t="shared" si="2"/>
        <v>1</v>
      </c>
    </row>
    <row r="42" spans="4:7" x14ac:dyDescent="0.55000000000000004">
      <c r="D42">
        <v>0.46884679250069894</v>
      </c>
      <c r="E42" s="5">
        <f t="shared" si="0"/>
        <v>0.19100890184274555</v>
      </c>
      <c r="F42" s="5">
        <f t="shared" si="1"/>
        <v>0.25651335276411813</v>
      </c>
      <c r="G42">
        <f t="shared" si="2"/>
        <v>0</v>
      </c>
    </row>
    <row r="43" spans="4:7" x14ac:dyDescent="0.55000000000000004">
      <c r="D43">
        <v>-2.3680149752181023</v>
      </c>
      <c r="E43" s="5">
        <f t="shared" si="0"/>
        <v>-0.35966069489843971</v>
      </c>
      <c r="F43" s="5">
        <f t="shared" si="1"/>
        <v>-0.56949104234765957</v>
      </c>
      <c r="G43">
        <f t="shared" si="2"/>
        <v>1</v>
      </c>
    </row>
    <row r="44" spans="4:7" x14ac:dyDescent="0.55000000000000004">
      <c r="D44">
        <v>-0.54266592997009866</v>
      </c>
      <c r="E44" s="5">
        <f t="shared" si="0"/>
        <v>-5.3381000873058693E-3</v>
      </c>
      <c r="F44" s="5">
        <f t="shared" si="1"/>
        <v>-3.8007150130958678E-2</v>
      </c>
      <c r="G44">
        <f t="shared" si="2"/>
        <v>1</v>
      </c>
    </row>
    <row r="45" spans="4:7" x14ac:dyDescent="0.55000000000000004">
      <c r="D45">
        <v>0.1103433078242233</v>
      </c>
      <c r="E45" s="5">
        <f t="shared" si="0"/>
        <v>0.12141898682342722</v>
      </c>
      <c r="F45" s="5">
        <f t="shared" si="1"/>
        <v>0.15212848023514081</v>
      </c>
      <c r="G45">
        <f t="shared" si="2"/>
        <v>0</v>
      </c>
    </row>
    <row r="46" spans="4:7" x14ac:dyDescent="0.55000000000000004">
      <c r="D46">
        <v>-0.72787656790751498</v>
      </c>
      <c r="E46" s="5">
        <f t="shared" si="0"/>
        <v>-4.1289752178971795E-2</v>
      </c>
      <c r="F46" s="5">
        <f t="shared" si="1"/>
        <v>-9.1934628268457663E-2</v>
      </c>
      <c r="G46">
        <f t="shared" si="2"/>
        <v>1</v>
      </c>
    </row>
    <row r="47" spans="4:7" x14ac:dyDescent="0.55000000000000004">
      <c r="D47">
        <v>-1.3765702533419244</v>
      </c>
      <c r="E47" s="5">
        <f t="shared" si="0"/>
        <v>-0.1672091375475323</v>
      </c>
      <c r="F47" s="5">
        <f t="shared" si="1"/>
        <v>-0.28081370632129843</v>
      </c>
      <c r="G47">
        <f t="shared" si="2"/>
        <v>1</v>
      </c>
    </row>
    <row r="48" spans="4:7" x14ac:dyDescent="0.55000000000000004">
      <c r="D48">
        <v>0.13716999092139304</v>
      </c>
      <c r="E48" s="5">
        <f t="shared" si="0"/>
        <v>0.12662637441316554</v>
      </c>
      <c r="F48" s="5">
        <f t="shared" si="1"/>
        <v>0.15993956161974809</v>
      </c>
      <c r="G48">
        <f t="shared" si="2"/>
        <v>0</v>
      </c>
    </row>
    <row r="49" spans="4:7" x14ac:dyDescent="0.55000000000000004">
      <c r="D49">
        <v>-0.73217051976826042</v>
      </c>
      <c r="E49" s="5">
        <f t="shared" si="0"/>
        <v>-4.2123260799832141E-2</v>
      </c>
      <c r="F49" s="5">
        <f t="shared" si="1"/>
        <v>-9.3184891199748154E-2</v>
      </c>
      <c r="G49">
        <f t="shared" si="2"/>
        <v>1</v>
      </c>
    </row>
    <row r="50" spans="4:7" x14ac:dyDescent="0.55000000000000004">
      <c r="D50">
        <v>1.7725915313349105</v>
      </c>
      <c r="E50" s="5">
        <f t="shared" si="0"/>
        <v>0.44408171552608072</v>
      </c>
      <c r="F50" s="5">
        <f t="shared" si="1"/>
        <v>0.63612257328912136</v>
      </c>
      <c r="G50">
        <f t="shared" si="2"/>
        <v>0</v>
      </c>
    </row>
    <row r="51" spans="4:7" x14ac:dyDescent="0.55000000000000004">
      <c r="D51">
        <v>1.3114595276420005</v>
      </c>
      <c r="E51" s="5">
        <f t="shared" si="0"/>
        <v>0.35457034863201359</v>
      </c>
      <c r="F51" s="5">
        <f t="shared" si="1"/>
        <v>0.50185552294802038</v>
      </c>
      <c r="G51">
        <f t="shared" si="2"/>
        <v>0</v>
      </c>
    </row>
    <row r="52" spans="4:7" x14ac:dyDescent="0.55000000000000004">
      <c r="D52">
        <v>1.3981980373500846</v>
      </c>
      <c r="E52" s="5">
        <f t="shared" si="0"/>
        <v>0.37140735518143408</v>
      </c>
      <c r="F52" s="5">
        <f t="shared" si="1"/>
        <v>0.5271110327721511</v>
      </c>
      <c r="G52">
        <f t="shared" si="2"/>
        <v>0</v>
      </c>
    </row>
    <row r="53" spans="4:7" x14ac:dyDescent="0.55000000000000004">
      <c r="D53">
        <v>-1.168912149296375</v>
      </c>
      <c r="E53" s="5">
        <f t="shared" si="0"/>
        <v>-0.12690015749216829</v>
      </c>
      <c r="F53" s="5">
        <f t="shared" si="1"/>
        <v>-0.22035023623825256</v>
      </c>
      <c r="G53">
        <f t="shared" si="2"/>
        <v>1</v>
      </c>
    </row>
    <row r="54" spans="4:7" x14ac:dyDescent="0.55000000000000004">
      <c r="D54">
        <v>1.7338243196718395</v>
      </c>
      <c r="E54" s="5">
        <f t="shared" si="0"/>
        <v>0.43655652517094756</v>
      </c>
      <c r="F54" s="5">
        <f t="shared" si="1"/>
        <v>0.62483478775642154</v>
      </c>
      <c r="G54">
        <f t="shared" si="2"/>
        <v>0</v>
      </c>
    </row>
    <row r="55" spans="4:7" x14ac:dyDescent="0.55000000000000004">
      <c r="D55">
        <v>-1.3500266504706815</v>
      </c>
      <c r="E55" s="5">
        <f t="shared" si="0"/>
        <v>-0.16205669929499128</v>
      </c>
      <c r="F55" s="5">
        <f t="shared" si="1"/>
        <v>-0.27308504894248686</v>
      </c>
      <c r="G55">
        <f t="shared" si="2"/>
        <v>1</v>
      </c>
    </row>
    <row r="56" spans="4:7" x14ac:dyDescent="0.55000000000000004">
      <c r="D56">
        <v>-0.38403982216550503</v>
      </c>
      <c r="E56" s="5">
        <f t="shared" si="0"/>
        <v>2.5453169269332665E-2</v>
      </c>
      <c r="F56" s="5">
        <f t="shared" si="1"/>
        <v>8.1797539039991651E-3</v>
      </c>
      <c r="G56">
        <f t="shared" si="2"/>
        <v>1</v>
      </c>
    </row>
    <row r="57" spans="4:7" x14ac:dyDescent="0.55000000000000004">
      <c r="D57">
        <v>-0.31627678254153579</v>
      </c>
      <c r="E57" s="5">
        <f t="shared" si="0"/>
        <v>3.8606804785981101E-2</v>
      </c>
      <c r="F57" s="5">
        <f t="shared" si="1"/>
        <v>2.7910207178971635E-2</v>
      </c>
      <c r="G57">
        <f t="shared" si="2"/>
        <v>1</v>
      </c>
    </row>
    <row r="58" spans="4:7" x14ac:dyDescent="0.55000000000000004">
      <c r="D58">
        <v>-1.5179284673649818</v>
      </c>
      <c r="E58" s="5">
        <f t="shared" si="0"/>
        <v>-0.19464849733513512</v>
      </c>
      <c r="F58" s="5">
        <f t="shared" si="1"/>
        <v>-0.32197274600270265</v>
      </c>
      <c r="G58">
        <f t="shared" si="2"/>
        <v>1</v>
      </c>
    </row>
    <row r="59" spans="4:7" x14ac:dyDescent="0.55000000000000004">
      <c r="D59">
        <v>0.27313035388942808</v>
      </c>
      <c r="E59" s="5">
        <f t="shared" si="0"/>
        <v>0.15301794523284545</v>
      </c>
      <c r="F59" s="5">
        <f t="shared" si="1"/>
        <v>0.19952691784926824</v>
      </c>
      <c r="G59">
        <f t="shared" si="2"/>
        <v>0</v>
      </c>
    </row>
    <row r="60" spans="4:7" x14ac:dyDescent="0.55000000000000004">
      <c r="D60">
        <v>1.5540126696578227</v>
      </c>
      <c r="E60" s="5">
        <f t="shared" si="0"/>
        <v>0.40165288272727367</v>
      </c>
      <c r="F60" s="5">
        <f t="shared" si="1"/>
        <v>0.57247932409091051</v>
      </c>
      <c r="G60">
        <f t="shared" si="2"/>
        <v>0</v>
      </c>
    </row>
    <row r="61" spans="4:7" x14ac:dyDescent="0.55000000000000004">
      <c r="D61">
        <v>-0.86745558292022906</v>
      </c>
      <c r="E61" s="5">
        <f t="shared" si="0"/>
        <v>-6.8383747658487121E-2</v>
      </c>
      <c r="F61" s="5">
        <f t="shared" si="1"/>
        <v>-0.13257562148773072</v>
      </c>
      <c r="G61">
        <f t="shared" si="2"/>
        <v>1</v>
      </c>
    </row>
    <row r="62" spans="4:7" x14ac:dyDescent="0.55000000000000004">
      <c r="D62">
        <v>0.77826143751735799</v>
      </c>
      <c r="E62" s="5">
        <f t="shared" si="0"/>
        <v>0.25107007215988514</v>
      </c>
      <c r="F62" s="5">
        <f t="shared" si="1"/>
        <v>0.3466051082398276</v>
      </c>
      <c r="G62">
        <f t="shared" si="2"/>
        <v>0</v>
      </c>
    </row>
    <row r="63" spans="4:7" x14ac:dyDescent="0.55000000000000004">
      <c r="D63">
        <v>-0.91572019300656393</v>
      </c>
      <c r="E63" s="5">
        <f t="shared" si="0"/>
        <v>-7.7752499310593387E-2</v>
      </c>
      <c r="F63" s="5">
        <f t="shared" si="1"/>
        <v>-0.14662874896588995</v>
      </c>
      <c r="G63">
        <f t="shared" si="2"/>
        <v>1</v>
      </c>
    </row>
    <row r="64" spans="4:7" x14ac:dyDescent="0.55000000000000004">
      <c r="D64">
        <v>-0.34422896533214953</v>
      </c>
      <c r="E64" s="5">
        <f t="shared" si="0"/>
        <v>3.318094392786794E-2</v>
      </c>
      <c r="F64" s="5">
        <f t="shared" si="1"/>
        <v>1.9771415891801647E-2</v>
      </c>
      <c r="G64">
        <f t="shared" si="2"/>
        <v>1</v>
      </c>
    </row>
    <row r="65" spans="4:7" x14ac:dyDescent="0.55000000000000004">
      <c r="D65">
        <v>0.11565589375095442</v>
      </c>
      <c r="E65" s="5">
        <f t="shared" si="0"/>
        <v>0.12245022478617025</v>
      </c>
      <c r="F65" s="5">
        <f t="shared" si="1"/>
        <v>0.15367533717925541</v>
      </c>
      <c r="G65">
        <f t="shared" si="2"/>
        <v>0</v>
      </c>
    </row>
    <row r="66" spans="4:7" x14ac:dyDescent="0.55000000000000004">
      <c r="D66">
        <v>0.42237616071361117</v>
      </c>
      <c r="E66" s="5">
        <f t="shared" si="0"/>
        <v>0.18198838333962464</v>
      </c>
      <c r="F66" s="5">
        <f t="shared" si="1"/>
        <v>0.24298257500943699</v>
      </c>
      <c r="G66">
        <f t="shared" si="2"/>
        <v>0</v>
      </c>
    </row>
    <row r="67" spans="4:7" x14ac:dyDescent="0.55000000000000004">
      <c r="D67">
        <v>-0.77227014116942883</v>
      </c>
      <c r="E67" s="5">
        <f t="shared" si="0"/>
        <v>-4.9907088195910054E-2</v>
      </c>
      <c r="F67" s="5">
        <f t="shared" si="1"/>
        <v>-0.10486063229386511</v>
      </c>
      <c r="G67">
        <f t="shared" si="2"/>
        <v>1</v>
      </c>
    </row>
    <row r="68" spans="4:7" x14ac:dyDescent="0.55000000000000004">
      <c r="D68">
        <v>0.40978079596243333</v>
      </c>
      <c r="E68" s="5">
        <f t="shared" ref="E68:E131" si="5">$B$3+D68*$B$4</f>
        <v>0.17954346885444808</v>
      </c>
      <c r="F68" s="5">
        <f t="shared" ref="F68:F131" si="6">($B$2*(1+E68)-$B$5*(1+$B$6))/$B$7-1</f>
        <v>0.23931520328167211</v>
      </c>
      <c r="G68">
        <f t="shared" ref="G68:G131" si="7">IF(F68&lt;E68,1,0)</f>
        <v>0</v>
      </c>
    </row>
    <row r="69" spans="4:7" x14ac:dyDescent="0.55000000000000004">
      <c r="D69">
        <v>-2.2814310796093196</v>
      </c>
      <c r="E69" s="5">
        <f t="shared" si="5"/>
        <v>-0.3428537008384121</v>
      </c>
      <c r="F69" s="5">
        <f t="shared" si="6"/>
        <v>-0.54428055125761809</v>
      </c>
      <c r="G69">
        <f t="shared" si="7"/>
        <v>1</v>
      </c>
    </row>
    <row r="70" spans="4:7" x14ac:dyDescent="0.55000000000000004">
      <c r="D70">
        <v>-8.6665750131942332E-2</v>
      </c>
      <c r="E70" s="5">
        <f t="shared" si="5"/>
        <v>8.317711697499966E-2</v>
      </c>
      <c r="F70" s="5">
        <f t="shared" si="6"/>
        <v>9.4765675462499477E-2</v>
      </c>
      <c r="G70">
        <f t="shared" si="7"/>
        <v>0</v>
      </c>
    </row>
    <row r="71" spans="4:7" x14ac:dyDescent="0.55000000000000004">
      <c r="D71">
        <v>3.2403022487415001E-2</v>
      </c>
      <c r="E71" s="5">
        <f t="shared" si="5"/>
        <v>0.10628982332850453</v>
      </c>
      <c r="F71" s="5">
        <f t="shared" si="6"/>
        <v>0.12943473499275671</v>
      </c>
      <c r="G71">
        <f t="shared" si="7"/>
        <v>0</v>
      </c>
    </row>
    <row r="72" spans="4:7" x14ac:dyDescent="0.55000000000000004">
      <c r="D72">
        <v>0.88440629042452201</v>
      </c>
      <c r="E72" s="5">
        <f t="shared" si="5"/>
        <v>0.2716740874882535</v>
      </c>
      <c r="F72" s="5">
        <f t="shared" si="6"/>
        <v>0.37751113123238023</v>
      </c>
      <c r="G72">
        <f t="shared" si="7"/>
        <v>0</v>
      </c>
    </row>
    <row r="73" spans="4:7" x14ac:dyDescent="0.55000000000000004">
      <c r="D73">
        <v>-1.4221836863725912</v>
      </c>
      <c r="E73" s="5">
        <f t="shared" si="5"/>
        <v>-0.1760632632785778</v>
      </c>
      <c r="F73" s="5">
        <f t="shared" si="6"/>
        <v>-0.29409489491786667</v>
      </c>
      <c r="G73">
        <f t="shared" si="7"/>
        <v>1</v>
      </c>
    </row>
    <row r="74" spans="4:7" x14ac:dyDescent="0.55000000000000004">
      <c r="D74">
        <v>0.97898919193539768</v>
      </c>
      <c r="E74" s="5">
        <f t="shared" si="5"/>
        <v>0.2900337865142259</v>
      </c>
      <c r="F74" s="5">
        <f t="shared" si="6"/>
        <v>0.40505067977133868</v>
      </c>
      <c r="G74">
        <f t="shared" si="7"/>
        <v>0</v>
      </c>
    </row>
    <row r="75" spans="4:7" x14ac:dyDescent="0.55000000000000004">
      <c r="D75">
        <v>-0.6284949449764099</v>
      </c>
      <c r="E75" s="5">
        <f t="shared" si="5"/>
        <v>-2.1998562581473993E-2</v>
      </c>
      <c r="F75" s="5">
        <f t="shared" si="6"/>
        <v>-6.2997843872210968E-2</v>
      </c>
      <c r="G75">
        <f t="shared" si="7"/>
        <v>1</v>
      </c>
    </row>
    <row r="76" spans="4:7" x14ac:dyDescent="0.55000000000000004">
      <c r="D76">
        <v>-0.68468125391518697</v>
      </c>
      <c r="E76" s="5">
        <f t="shared" si="5"/>
        <v>-3.2905012954828561E-2</v>
      </c>
      <c r="F76" s="5">
        <f t="shared" si="6"/>
        <v>-7.9357519432242785E-2</v>
      </c>
      <c r="G76">
        <f t="shared" si="7"/>
        <v>1</v>
      </c>
    </row>
    <row r="77" spans="4:7" x14ac:dyDescent="0.55000000000000004">
      <c r="D77">
        <v>1.0384064808022231</v>
      </c>
      <c r="E77" s="5">
        <f t="shared" si="5"/>
        <v>0.30156740964386458</v>
      </c>
      <c r="F77" s="5">
        <f t="shared" si="6"/>
        <v>0.42235111446579676</v>
      </c>
      <c r="G77">
        <f t="shared" si="7"/>
        <v>0</v>
      </c>
    </row>
    <row r="78" spans="4:7" x14ac:dyDescent="0.55000000000000004">
      <c r="D78">
        <v>0.96244548331014812</v>
      </c>
      <c r="E78" s="5">
        <f t="shared" si="5"/>
        <v>0.28682245014918489</v>
      </c>
      <c r="F78" s="5">
        <f t="shared" si="6"/>
        <v>0.4002336752237774</v>
      </c>
      <c r="G78">
        <f t="shared" si="7"/>
        <v>0</v>
      </c>
    </row>
    <row r="79" spans="4:7" x14ac:dyDescent="0.55000000000000004">
      <c r="D79">
        <v>0.48573383537586778</v>
      </c>
      <c r="E79" s="5">
        <f t="shared" si="5"/>
        <v>0.19428688358864429</v>
      </c>
      <c r="F79" s="5">
        <f t="shared" si="6"/>
        <v>0.2614303253829664</v>
      </c>
      <c r="G79">
        <f t="shared" si="7"/>
        <v>0</v>
      </c>
    </row>
    <row r="80" spans="4:7" x14ac:dyDescent="0.55000000000000004">
      <c r="D80">
        <v>0.50693415687419474</v>
      </c>
      <c r="E80" s="5">
        <f t="shared" si="5"/>
        <v>0.19840212551657754</v>
      </c>
      <c r="F80" s="5">
        <f t="shared" si="6"/>
        <v>0.26760318827486618</v>
      </c>
      <c r="G80">
        <f t="shared" si="7"/>
        <v>0</v>
      </c>
    </row>
    <row r="81" spans="4:7" x14ac:dyDescent="0.55000000000000004">
      <c r="D81">
        <v>0.13910039342590608</v>
      </c>
      <c r="E81" s="5">
        <f t="shared" si="5"/>
        <v>0.12700108917043876</v>
      </c>
      <c r="F81" s="5">
        <f t="shared" si="6"/>
        <v>0.16050163375565818</v>
      </c>
      <c r="G81">
        <f t="shared" si="7"/>
        <v>0</v>
      </c>
    </row>
    <row r="82" spans="4:7" x14ac:dyDescent="0.55000000000000004">
      <c r="D82">
        <v>-1.8254422684549354</v>
      </c>
      <c r="E82" s="5">
        <f t="shared" si="5"/>
        <v>-0.2543406905767972</v>
      </c>
      <c r="F82" s="5">
        <f t="shared" si="6"/>
        <v>-0.41151103586519588</v>
      </c>
      <c r="G82">
        <f t="shared" si="7"/>
        <v>1</v>
      </c>
    </row>
    <row r="83" spans="4:7" x14ac:dyDescent="0.55000000000000004">
      <c r="D83">
        <v>0.72568468567624222</v>
      </c>
      <c r="E83" s="5">
        <f t="shared" si="5"/>
        <v>0.24086428100581347</v>
      </c>
      <c r="F83" s="5">
        <f t="shared" si="6"/>
        <v>0.33129642150872018</v>
      </c>
      <c r="G83">
        <f t="shared" si="7"/>
        <v>0</v>
      </c>
    </row>
    <row r="84" spans="4:7" x14ac:dyDescent="0.55000000000000004">
      <c r="D84">
        <v>-1.1972360880463384E-2</v>
      </c>
      <c r="E84" s="5">
        <f t="shared" si="5"/>
        <v>9.7676018192671313E-2</v>
      </c>
      <c r="F84" s="5">
        <f t="shared" si="6"/>
        <v>0.11651402728900684</v>
      </c>
      <c r="G84">
        <f t="shared" si="7"/>
        <v>0</v>
      </c>
    </row>
    <row r="85" spans="4:7" x14ac:dyDescent="0.55000000000000004">
      <c r="D85">
        <v>0.65661424741847441</v>
      </c>
      <c r="E85" s="5">
        <f t="shared" si="5"/>
        <v>0.22745686340973972</v>
      </c>
      <c r="F85" s="5">
        <f t="shared" si="6"/>
        <v>0.31118529511460991</v>
      </c>
      <c r="G85">
        <f t="shared" si="7"/>
        <v>0</v>
      </c>
    </row>
    <row r="86" spans="4:7" x14ac:dyDescent="0.55000000000000004">
      <c r="D86">
        <v>0.12436203178367577</v>
      </c>
      <c r="E86" s="5">
        <f t="shared" si="5"/>
        <v>0.12414019275507376</v>
      </c>
      <c r="F86" s="5">
        <f t="shared" si="6"/>
        <v>0.1562102891326107</v>
      </c>
      <c r="G86">
        <f t="shared" si="7"/>
        <v>0</v>
      </c>
    </row>
    <row r="87" spans="4:7" x14ac:dyDescent="0.55000000000000004">
      <c r="D87">
        <v>-0.2838669388438575</v>
      </c>
      <c r="E87" s="5">
        <f t="shared" si="5"/>
        <v>4.4897952194900045E-2</v>
      </c>
      <c r="F87" s="5">
        <f t="shared" si="6"/>
        <v>3.7346928292350201E-2</v>
      </c>
      <c r="G87">
        <f t="shared" si="7"/>
        <v>1</v>
      </c>
    </row>
    <row r="88" spans="4:7" x14ac:dyDescent="0.55000000000000004">
      <c r="D88">
        <v>1.1453039405751042</v>
      </c>
      <c r="E88" s="5">
        <f t="shared" si="5"/>
        <v>0.32231751517795432</v>
      </c>
      <c r="F88" s="5">
        <f t="shared" si="6"/>
        <v>0.45347627276693125</v>
      </c>
      <c r="G88">
        <f t="shared" si="7"/>
        <v>0</v>
      </c>
    </row>
    <row r="89" spans="4:7" x14ac:dyDescent="0.55000000000000004">
      <c r="D89">
        <v>0.29383613764366601</v>
      </c>
      <c r="E89" s="5">
        <f t="shared" si="5"/>
        <v>0.15703719133073518</v>
      </c>
      <c r="F89" s="5">
        <f t="shared" si="6"/>
        <v>0.20555578699610266</v>
      </c>
      <c r="G89">
        <f t="shared" si="7"/>
        <v>0</v>
      </c>
    </row>
    <row r="90" spans="4:7" x14ac:dyDescent="0.55000000000000004">
      <c r="D90">
        <v>0.4704691036749864</v>
      </c>
      <c r="E90" s="5">
        <f t="shared" si="5"/>
        <v>0.19132381230130199</v>
      </c>
      <c r="F90" s="5">
        <f t="shared" si="6"/>
        <v>0.25698571845195284</v>
      </c>
      <c r="G90">
        <f t="shared" si="7"/>
        <v>0</v>
      </c>
    </row>
    <row r="91" spans="4:7" x14ac:dyDescent="0.55000000000000004">
      <c r="D91">
        <v>-0.11257498044869862</v>
      </c>
      <c r="E91" s="5">
        <f t="shared" si="5"/>
        <v>7.8147818200997185E-2</v>
      </c>
      <c r="F91" s="5">
        <f t="shared" si="6"/>
        <v>8.7221727301495688E-2</v>
      </c>
      <c r="G91">
        <f t="shared" si="7"/>
        <v>0</v>
      </c>
    </row>
    <row r="92" spans="4:7" x14ac:dyDescent="0.55000000000000004">
      <c r="D92">
        <v>-0.85228748503141105</v>
      </c>
      <c r="E92" s="5">
        <f t="shared" si="5"/>
        <v>-6.5439434177015393E-2</v>
      </c>
      <c r="F92" s="5">
        <f t="shared" si="6"/>
        <v>-0.12815915126552302</v>
      </c>
      <c r="G92">
        <f t="shared" si="7"/>
        <v>1</v>
      </c>
    </row>
    <row r="93" spans="4:7" x14ac:dyDescent="0.55000000000000004">
      <c r="D93">
        <v>-0.38576899896725081</v>
      </c>
      <c r="E93" s="5">
        <f t="shared" si="5"/>
        <v>2.5117514884284056E-2</v>
      </c>
      <c r="F93" s="5">
        <f t="shared" si="6"/>
        <v>7.6762723264263144E-3</v>
      </c>
      <c r="G93">
        <f t="shared" si="7"/>
        <v>1</v>
      </c>
    </row>
    <row r="94" spans="4:7" x14ac:dyDescent="0.55000000000000004">
      <c r="D94">
        <v>0.10303438102710061</v>
      </c>
      <c r="E94" s="5">
        <f t="shared" si="5"/>
        <v>0.12000023465940519</v>
      </c>
      <c r="F94" s="5">
        <f t="shared" si="6"/>
        <v>0.15000035198910777</v>
      </c>
      <c r="G94">
        <f t="shared" si="7"/>
        <v>0</v>
      </c>
    </row>
    <row r="95" spans="4:7" x14ac:dyDescent="0.55000000000000004">
      <c r="D95">
        <v>-0.97504198492970318</v>
      </c>
      <c r="E95" s="5">
        <f t="shared" si="5"/>
        <v>-8.9267585314430575E-2</v>
      </c>
      <c r="F95" s="5">
        <f t="shared" si="6"/>
        <v>-0.16390137797164583</v>
      </c>
      <c r="G95">
        <f t="shared" si="7"/>
        <v>1</v>
      </c>
    </row>
    <row r="96" spans="4:7" x14ac:dyDescent="0.55000000000000004">
      <c r="D96">
        <v>0.71794147515902296</v>
      </c>
      <c r="E96" s="5">
        <f t="shared" si="5"/>
        <v>0.23936122905540844</v>
      </c>
      <c r="F96" s="5">
        <f t="shared" si="6"/>
        <v>0.32904184358311239</v>
      </c>
      <c r="G96">
        <f t="shared" si="7"/>
        <v>0</v>
      </c>
    </row>
    <row r="97" spans="4:7" x14ac:dyDescent="0.55000000000000004">
      <c r="D97">
        <v>1.1305428415653296</v>
      </c>
      <c r="E97" s="5">
        <f t="shared" si="5"/>
        <v>0.31945220516120804</v>
      </c>
      <c r="F97" s="5">
        <f t="shared" si="6"/>
        <v>0.44917830774181211</v>
      </c>
      <c r="G97">
        <f t="shared" si="7"/>
        <v>0</v>
      </c>
    </row>
    <row r="98" spans="4:7" x14ac:dyDescent="0.55000000000000004">
      <c r="D98">
        <v>-0.26329757929488551</v>
      </c>
      <c r="E98" s="5">
        <f t="shared" si="5"/>
        <v>4.8890716684501921E-2</v>
      </c>
      <c r="F98" s="5">
        <f t="shared" si="6"/>
        <v>4.3336075026752852E-2</v>
      </c>
      <c r="G98">
        <f t="shared" si="7"/>
        <v>1</v>
      </c>
    </row>
    <row r="99" spans="4:7" x14ac:dyDescent="0.55000000000000004">
      <c r="D99">
        <v>-1.256175892194733</v>
      </c>
      <c r="E99" s="5">
        <f t="shared" si="5"/>
        <v>-0.14383911823349707</v>
      </c>
      <c r="F99" s="5">
        <f t="shared" si="6"/>
        <v>-0.24575867735024548</v>
      </c>
      <c r="G99">
        <f t="shared" si="7"/>
        <v>1</v>
      </c>
    </row>
    <row r="100" spans="4:7" x14ac:dyDescent="0.55000000000000004">
      <c r="D100">
        <v>-1.0386679605289828</v>
      </c>
      <c r="E100" s="5">
        <f t="shared" si="5"/>
        <v>-0.10161816605974969</v>
      </c>
      <c r="F100" s="5">
        <f t="shared" si="6"/>
        <v>-0.1824272490896246</v>
      </c>
      <c r="G100">
        <f t="shared" si="7"/>
        <v>1</v>
      </c>
    </row>
    <row r="101" spans="4:7" x14ac:dyDescent="0.55000000000000004">
      <c r="D101">
        <v>1.5193836588878185</v>
      </c>
      <c r="E101" s="5">
        <f t="shared" si="5"/>
        <v>0.39493096782353893</v>
      </c>
      <c r="F101" s="5">
        <f t="shared" si="6"/>
        <v>0.56239645173530839</v>
      </c>
      <c r="G101">
        <f t="shared" si="7"/>
        <v>0</v>
      </c>
    </row>
    <row r="102" spans="4:7" x14ac:dyDescent="0.55000000000000004">
      <c r="D102">
        <v>-2.0402876543812454</v>
      </c>
      <c r="E102" s="5">
        <f t="shared" si="5"/>
        <v>-0.29604481002879324</v>
      </c>
      <c r="F102" s="5">
        <f t="shared" si="6"/>
        <v>-0.47406721504318994</v>
      </c>
      <c r="G102">
        <f t="shared" si="7"/>
        <v>1</v>
      </c>
    </row>
    <row r="103" spans="4:7" x14ac:dyDescent="0.55000000000000004">
      <c r="D103">
        <v>-0.48040419642347842</v>
      </c>
      <c r="E103" s="5">
        <f t="shared" si="5"/>
        <v>6.7476645751346626E-3</v>
      </c>
      <c r="F103" s="5">
        <f t="shared" si="6"/>
        <v>-1.9878503137297776E-2</v>
      </c>
      <c r="G103">
        <f t="shared" si="7"/>
        <v>1</v>
      </c>
    </row>
    <row r="104" spans="4:7" x14ac:dyDescent="0.55000000000000004">
      <c r="D104">
        <v>0.3593663677747827</v>
      </c>
      <c r="E104" s="5">
        <f t="shared" si="5"/>
        <v>0.16975741119173898</v>
      </c>
      <c r="F104" s="5">
        <f t="shared" si="6"/>
        <v>0.22463611678760853</v>
      </c>
      <c r="G104">
        <f t="shared" si="7"/>
        <v>0</v>
      </c>
    </row>
    <row r="105" spans="4:7" x14ac:dyDescent="0.55000000000000004">
      <c r="D105">
        <v>1.7674619812169112</v>
      </c>
      <c r="E105" s="5">
        <f t="shared" si="5"/>
        <v>0.44308600705445728</v>
      </c>
      <c r="F105" s="5">
        <f t="shared" si="6"/>
        <v>0.63462901058168608</v>
      </c>
      <c r="G105">
        <f t="shared" si="7"/>
        <v>0</v>
      </c>
    </row>
    <row r="106" spans="4:7" x14ac:dyDescent="0.55000000000000004">
      <c r="D106">
        <v>0.9990753824240528</v>
      </c>
      <c r="E106" s="5">
        <f t="shared" si="5"/>
        <v>0.29393276197447493</v>
      </c>
      <c r="F106" s="5">
        <f t="shared" si="6"/>
        <v>0.41089914296171237</v>
      </c>
      <c r="G106">
        <f t="shared" si="7"/>
        <v>0</v>
      </c>
    </row>
    <row r="107" spans="4:7" x14ac:dyDescent="0.55000000000000004">
      <c r="D107">
        <v>2.1259256755001843</v>
      </c>
      <c r="E107" s="5">
        <f t="shared" si="5"/>
        <v>0.51266819827135834</v>
      </c>
      <c r="F107" s="5">
        <f t="shared" si="6"/>
        <v>0.7390022974070376</v>
      </c>
      <c r="G107">
        <f t="shared" si="7"/>
        <v>0</v>
      </c>
    </row>
    <row r="108" spans="4:7" x14ac:dyDescent="0.55000000000000004">
      <c r="D108">
        <v>0.78303401096491143</v>
      </c>
      <c r="E108" s="5">
        <f t="shared" si="5"/>
        <v>0.25199648708982203</v>
      </c>
      <c r="F108" s="5">
        <f t="shared" si="6"/>
        <v>0.34799473063473307</v>
      </c>
      <c r="G108">
        <f t="shared" si="7"/>
        <v>0</v>
      </c>
    </row>
    <row r="109" spans="4:7" x14ac:dyDescent="0.55000000000000004">
      <c r="D109">
        <v>-1.273747329832986E-2</v>
      </c>
      <c r="E109" s="5">
        <f t="shared" si="5"/>
        <v>9.7527500506190246E-2</v>
      </c>
      <c r="F109" s="5">
        <f t="shared" si="6"/>
        <v>0.11629125075928526</v>
      </c>
      <c r="G109">
        <f t="shared" si="7"/>
        <v>0</v>
      </c>
    </row>
    <row r="110" spans="4:7" x14ac:dyDescent="0.55000000000000004">
      <c r="D110">
        <v>-1.0226631275145337</v>
      </c>
      <c r="E110" s="5">
        <f t="shared" si="5"/>
        <v>-9.8511432047445752E-2</v>
      </c>
      <c r="F110" s="5">
        <f t="shared" si="6"/>
        <v>-0.17776714807116856</v>
      </c>
      <c r="G110">
        <f t="shared" si="7"/>
        <v>1</v>
      </c>
    </row>
    <row r="111" spans="4:7" x14ac:dyDescent="0.55000000000000004">
      <c r="D111">
        <v>1.3549924915423617</v>
      </c>
      <c r="E111" s="5">
        <f t="shared" si="5"/>
        <v>0.36302062983666927</v>
      </c>
      <c r="F111" s="5">
        <f t="shared" si="6"/>
        <v>0.51453094475500372</v>
      </c>
      <c r="G111">
        <f t="shared" si="7"/>
        <v>0</v>
      </c>
    </row>
    <row r="112" spans="4:7" x14ac:dyDescent="0.55000000000000004">
      <c r="D112">
        <v>0.22475660443888046</v>
      </c>
      <c r="E112" s="5">
        <f t="shared" si="5"/>
        <v>0.14362800829410891</v>
      </c>
      <c r="F112" s="5">
        <f t="shared" si="6"/>
        <v>0.18544201244116332</v>
      </c>
      <c r="G112">
        <f t="shared" si="7"/>
        <v>0</v>
      </c>
    </row>
    <row r="113" spans="4:7" x14ac:dyDescent="0.55000000000000004">
      <c r="D113">
        <v>0.61466835177270696</v>
      </c>
      <c r="E113" s="5">
        <f t="shared" si="5"/>
        <v>0.21931465158149949</v>
      </c>
      <c r="F113" s="5">
        <f t="shared" si="6"/>
        <v>0.29897197737224923</v>
      </c>
      <c r="G113">
        <f t="shared" si="7"/>
        <v>0</v>
      </c>
    </row>
    <row r="114" spans="4:7" x14ac:dyDescent="0.55000000000000004">
      <c r="D114">
        <v>-0.86834688772796653</v>
      </c>
      <c r="E114" s="5">
        <f t="shared" si="5"/>
        <v>-6.8556760832634484E-2</v>
      </c>
      <c r="F114" s="5">
        <f t="shared" si="6"/>
        <v>-0.13283514124895168</v>
      </c>
      <c r="G114">
        <f t="shared" si="7"/>
        <v>1</v>
      </c>
    </row>
    <row r="115" spans="4:7" x14ac:dyDescent="0.55000000000000004">
      <c r="D115">
        <v>-0.15177988643699791</v>
      </c>
      <c r="E115" s="5">
        <f t="shared" si="5"/>
        <v>7.0537666019273818E-2</v>
      </c>
      <c r="F115" s="5">
        <f t="shared" si="6"/>
        <v>7.5806499028910679E-2</v>
      </c>
      <c r="G115">
        <f t="shared" si="7"/>
        <v>0</v>
      </c>
    </row>
    <row r="116" spans="4:7" x14ac:dyDescent="0.55000000000000004">
      <c r="D116">
        <v>-0.21198616195761133</v>
      </c>
      <c r="E116" s="5">
        <f t="shared" si="5"/>
        <v>5.8850890921703682E-2</v>
      </c>
      <c r="F116" s="5">
        <f t="shared" si="6"/>
        <v>5.827633638255536E-2</v>
      </c>
      <c r="G116">
        <f t="shared" si="7"/>
        <v>1</v>
      </c>
    </row>
    <row r="117" spans="4:7" x14ac:dyDescent="0.55000000000000004">
      <c r="D117">
        <v>2.1430969354696572</v>
      </c>
      <c r="E117" s="5">
        <f t="shared" si="5"/>
        <v>0.51600135003452341</v>
      </c>
      <c r="F117" s="5">
        <f t="shared" si="6"/>
        <v>0.74400202505178492</v>
      </c>
      <c r="G117">
        <f t="shared" si="7"/>
        <v>0</v>
      </c>
    </row>
    <row r="118" spans="4:7" x14ac:dyDescent="0.55000000000000004">
      <c r="D118">
        <v>-0.41386101656826213</v>
      </c>
      <c r="E118" s="5">
        <f t="shared" si="5"/>
        <v>1.9664510377675831E-2</v>
      </c>
      <c r="F118" s="5">
        <f t="shared" si="6"/>
        <v>-5.0323443348621044E-4</v>
      </c>
      <c r="G118">
        <f t="shared" si="7"/>
        <v>1</v>
      </c>
    </row>
    <row r="119" spans="4:7" x14ac:dyDescent="0.55000000000000004">
      <c r="D119">
        <v>1.5927798813208938</v>
      </c>
      <c r="E119" s="5">
        <f t="shared" si="5"/>
        <v>0.40917807308240683</v>
      </c>
      <c r="F119" s="5">
        <f t="shared" si="6"/>
        <v>0.58376710962361034</v>
      </c>
      <c r="G119">
        <f t="shared" si="7"/>
        <v>0</v>
      </c>
    </row>
    <row r="120" spans="4:7" x14ac:dyDescent="0.55000000000000004">
      <c r="D120">
        <v>-1.4929855751688592</v>
      </c>
      <c r="E120" s="5">
        <f t="shared" si="5"/>
        <v>-0.1898067766198383</v>
      </c>
      <c r="F120" s="5">
        <f t="shared" si="6"/>
        <v>-0.31471016492975756</v>
      </c>
      <c r="G120">
        <f t="shared" si="7"/>
        <v>1</v>
      </c>
    </row>
    <row r="121" spans="4:7" x14ac:dyDescent="0.55000000000000004">
      <c r="D121">
        <v>6.4953837863868102E-2</v>
      </c>
      <c r="E121" s="5">
        <f t="shared" si="5"/>
        <v>0.11260833506598759</v>
      </c>
      <c r="F121" s="5">
        <f t="shared" si="6"/>
        <v>0.13891250259898147</v>
      </c>
      <c r="G121">
        <f t="shared" si="7"/>
        <v>0</v>
      </c>
    </row>
    <row r="122" spans="4:7" x14ac:dyDescent="0.55000000000000004">
      <c r="D122">
        <v>-0.70503460847248789</v>
      </c>
      <c r="E122" s="5">
        <f t="shared" si="5"/>
        <v>-3.6855848231307997E-2</v>
      </c>
      <c r="F122" s="5">
        <f t="shared" si="6"/>
        <v>-8.528377234696205E-2</v>
      </c>
      <c r="G122">
        <f t="shared" si="7"/>
        <v>1</v>
      </c>
    </row>
    <row r="123" spans="4:7" x14ac:dyDescent="0.55000000000000004">
      <c r="D123">
        <v>0.27575197236728854</v>
      </c>
      <c r="E123" s="5">
        <f t="shared" si="5"/>
        <v>0.15352683347211046</v>
      </c>
      <c r="F123" s="5">
        <f t="shared" si="6"/>
        <v>0.20029025020816582</v>
      </c>
      <c r="G123">
        <f t="shared" si="7"/>
        <v>0</v>
      </c>
    </row>
    <row r="124" spans="4:7" x14ac:dyDescent="0.55000000000000004">
      <c r="D124">
        <v>-1.1153110790473875</v>
      </c>
      <c r="E124" s="5">
        <f t="shared" si="5"/>
        <v>-0.11649553359586864</v>
      </c>
      <c r="F124" s="5">
        <f t="shared" si="6"/>
        <v>-0.20474330039380295</v>
      </c>
      <c r="G124">
        <f t="shared" si="7"/>
        <v>1</v>
      </c>
    </row>
    <row r="125" spans="4:7" x14ac:dyDescent="0.55000000000000004">
      <c r="D125">
        <v>0.48246647565974854</v>
      </c>
      <c r="E125" s="5">
        <f t="shared" si="5"/>
        <v>0.19365264907015009</v>
      </c>
      <c r="F125" s="5">
        <f t="shared" si="6"/>
        <v>0.26047897360522509</v>
      </c>
      <c r="G125">
        <f t="shared" si="7"/>
        <v>0</v>
      </c>
    </row>
    <row r="126" spans="4:7" x14ac:dyDescent="0.55000000000000004">
      <c r="D126">
        <v>-1.1439806257840246</v>
      </c>
      <c r="E126" s="5">
        <f t="shared" si="5"/>
        <v>-0.12206064357756213</v>
      </c>
      <c r="F126" s="5">
        <f t="shared" si="6"/>
        <v>-0.21309096536634331</v>
      </c>
      <c r="G126">
        <f t="shared" si="7"/>
        <v>1</v>
      </c>
    </row>
    <row r="127" spans="4:7" x14ac:dyDescent="0.55000000000000004">
      <c r="D127">
        <v>0.22114932107797358</v>
      </c>
      <c r="E127" s="5">
        <f t="shared" si="5"/>
        <v>0.14292779043496412</v>
      </c>
      <c r="F127" s="5">
        <f t="shared" si="6"/>
        <v>0.18439168565244612</v>
      </c>
      <c r="G127">
        <f t="shared" si="7"/>
        <v>0</v>
      </c>
    </row>
    <row r="128" spans="4:7" x14ac:dyDescent="0.55000000000000004">
      <c r="D128">
        <v>-1.2801092452718876</v>
      </c>
      <c r="E128" s="5">
        <f t="shared" si="5"/>
        <v>-0.14848487504746372</v>
      </c>
      <c r="F128" s="5">
        <f t="shared" si="6"/>
        <v>-0.25272731257119563</v>
      </c>
      <c r="G128">
        <f t="shared" si="7"/>
        <v>1</v>
      </c>
    </row>
    <row r="129" spans="4:7" x14ac:dyDescent="0.55000000000000004">
      <c r="D129">
        <v>0.31732270144857466</v>
      </c>
      <c r="E129" s="5">
        <f t="shared" si="5"/>
        <v>0.16159622087755909</v>
      </c>
      <c r="F129" s="5">
        <f t="shared" si="6"/>
        <v>0.21239433131633878</v>
      </c>
      <c r="G129">
        <f t="shared" si="7"/>
        <v>0</v>
      </c>
    </row>
    <row r="130" spans="4:7" x14ac:dyDescent="0.55000000000000004">
      <c r="D130">
        <v>-1.2275631888769567</v>
      </c>
      <c r="E130" s="5">
        <f t="shared" si="5"/>
        <v>-0.13828504225525684</v>
      </c>
      <c r="F130" s="5">
        <f t="shared" si="6"/>
        <v>-0.23742756338288529</v>
      </c>
      <c r="G130">
        <f t="shared" si="7"/>
        <v>1</v>
      </c>
    </row>
    <row r="131" spans="4:7" x14ac:dyDescent="0.55000000000000004">
      <c r="D131">
        <v>-0.69672182689828333</v>
      </c>
      <c r="E131" s="5">
        <f t="shared" si="5"/>
        <v>-3.5242235566301156E-2</v>
      </c>
      <c r="F131" s="5">
        <f t="shared" si="6"/>
        <v>-8.2863353349451607E-2</v>
      </c>
      <c r="G131">
        <f t="shared" si="7"/>
        <v>1</v>
      </c>
    </row>
    <row r="132" spans="4:7" x14ac:dyDescent="0.55000000000000004">
      <c r="D132">
        <v>-0.56388444136246108</v>
      </c>
      <c r="E132" s="5">
        <f t="shared" ref="E132:E195" si="8">$B$3+D132*$B$4</f>
        <v>-9.4568728963441429E-3</v>
      </c>
      <c r="F132" s="5">
        <f t="shared" ref="F132:F195" si="9">($B$2*(1+E132)-$B$5*(1+$B$6))/$B$7-1</f>
        <v>-4.4185309344516144E-2</v>
      </c>
      <c r="G132">
        <f t="shared" ref="G132:G195" si="10">IF(F132&lt;E132,1,0)</f>
        <v>1</v>
      </c>
    </row>
    <row r="133" spans="4:7" x14ac:dyDescent="0.55000000000000004">
      <c r="D133">
        <v>0.51285724111949094</v>
      </c>
      <c r="E133" s="5">
        <f t="shared" si="8"/>
        <v>0.19955186867640873</v>
      </c>
      <c r="F133" s="5">
        <f t="shared" si="9"/>
        <v>0.2693278030146129</v>
      </c>
      <c r="G133">
        <f t="shared" si="10"/>
        <v>0</v>
      </c>
    </row>
    <row r="134" spans="4:7" x14ac:dyDescent="0.55000000000000004">
      <c r="D134">
        <v>0.64904043028946035</v>
      </c>
      <c r="E134" s="5">
        <f t="shared" si="8"/>
        <v>0.22598669278962544</v>
      </c>
      <c r="F134" s="5">
        <f t="shared" si="9"/>
        <v>0.30898003918443839</v>
      </c>
      <c r="G134">
        <f t="shared" si="10"/>
        <v>0</v>
      </c>
    </row>
    <row r="135" spans="4:7" x14ac:dyDescent="0.55000000000000004">
      <c r="D135">
        <v>0.24977907742140815</v>
      </c>
      <c r="E135" s="5">
        <f t="shared" si="8"/>
        <v>0.14848517661424032</v>
      </c>
      <c r="F135" s="5">
        <f t="shared" si="9"/>
        <v>0.19272776492136034</v>
      </c>
      <c r="G135">
        <f t="shared" si="10"/>
        <v>0</v>
      </c>
    </row>
    <row r="136" spans="4:7" x14ac:dyDescent="0.55000000000000004">
      <c r="D136">
        <v>-1.3317958291736431</v>
      </c>
      <c r="E136" s="5">
        <f t="shared" si="8"/>
        <v>-0.15851787370745707</v>
      </c>
      <c r="F136" s="5">
        <f t="shared" si="9"/>
        <v>-0.26777681056118563</v>
      </c>
      <c r="G136">
        <f t="shared" si="10"/>
        <v>1</v>
      </c>
    </row>
    <row r="137" spans="4:7" x14ac:dyDescent="0.55000000000000004">
      <c r="D137">
        <v>0.78657308222318534</v>
      </c>
      <c r="E137" s="5">
        <f t="shared" si="8"/>
        <v>0.2526834641448229</v>
      </c>
      <c r="F137" s="5">
        <f t="shared" si="9"/>
        <v>0.34902519621723394</v>
      </c>
      <c r="G137">
        <f t="shared" si="10"/>
        <v>0</v>
      </c>
    </row>
    <row r="138" spans="4:7" x14ac:dyDescent="0.55000000000000004">
      <c r="D138">
        <v>0.27773921829066239</v>
      </c>
      <c r="E138" s="5">
        <f t="shared" si="8"/>
        <v>0.15391258223283694</v>
      </c>
      <c r="F138" s="5">
        <f t="shared" si="9"/>
        <v>0.20086887334925518</v>
      </c>
      <c r="G138">
        <f t="shared" si="10"/>
        <v>0</v>
      </c>
    </row>
    <row r="139" spans="4:7" x14ac:dyDescent="0.55000000000000004">
      <c r="D139">
        <v>0.44304215407464653</v>
      </c>
      <c r="E139" s="5">
        <f t="shared" si="8"/>
        <v>0.18599990563509708</v>
      </c>
      <c r="F139" s="5">
        <f t="shared" si="9"/>
        <v>0.24899985845264561</v>
      </c>
      <c r="G139">
        <f t="shared" si="10"/>
        <v>0</v>
      </c>
    </row>
    <row r="140" spans="4:7" x14ac:dyDescent="0.55000000000000004">
      <c r="D140">
        <v>0.33620381145738065</v>
      </c>
      <c r="E140" s="5">
        <f t="shared" si="8"/>
        <v>0.16526127546459873</v>
      </c>
      <c r="F140" s="5">
        <f t="shared" si="9"/>
        <v>0.21789191319689816</v>
      </c>
      <c r="G140">
        <f t="shared" si="10"/>
        <v>0</v>
      </c>
    </row>
    <row r="141" spans="4:7" x14ac:dyDescent="0.55000000000000004">
      <c r="D141">
        <v>0.10318785825802479</v>
      </c>
      <c r="E141" s="5">
        <f t="shared" si="8"/>
        <v>0.12003002646872904</v>
      </c>
      <c r="F141" s="5">
        <f t="shared" si="9"/>
        <v>0.15004503970309346</v>
      </c>
      <c r="G141">
        <f t="shared" si="10"/>
        <v>0</v>
      </c>
    </row>
    <row r="142" spans="4:7" x14ac:dyDescent="0.55000000000000004">
      <c r="D142">
        <v>-0.65680296756909229</v>
      </c>
      <c r="E142" s="5">
        <f t="shared" si="8"/>
        <v>-2.7493496301204651E-2</v>
      </c>
      <c r="F142" s="5">
        <f t="shared" si="9"/>
        <v>-7.1240244451806989E-2</v>
      </c>
      <c r="G142">
        <f t="shared" si="10"/>
        <v>1</v>
      </c>
    </row>
    <row r="143" spans="4:7" x14ac:dyDescent="0.55000000000000004">
      <c r="D143">
        <v>0.97565816759015433</v>
      </c>
      <c r="E143" s="5">
        <f t="shared" si="8"/>
        <v>0.28938719391186402</v>
      </c>
      <c r="F143" s="5">
        <f t="shared" si="9"/>
        <v>0.40408079086779591</v>
      </c>
      <c r="G143">
        <f t="shared" si="10"/>
        <v>0</v>
      </c>
    </row>
    <row r="144" spans="4:7" x14ac:dyDescent="0.55000000000000004">
      <c r="D144">
        <v>-0.61531522987934295</v>
      </c>
      <c r="E144" s="5">
        <f t="shared" si="8"/>
        <v>-1.9440218540797777E-2</v>
      </c>
      <c r="F144" s="5">
        <f t="shared" si="9"/>
        <v>-5.9160327811196622E-2</v>
      </c>
      <c r="G144">
        <f t="shared" si="10"/>
        <v>1</v>
      </c>
    </row>
    <row r="145" spans="4:7" x14ac:dyDescent="0.55000000000000004">
      <c r="D145">
        <v>1.4006445780978538</v>
      </c>
      <c r="E145" s="5">
        <f t="shared" si="8"/>
        <v>0.37188225869006303</v>
      </c>
      <c r="F145" s="5">
        <f t="shared" si="9"/>
        <v>0.52782338803509443</v>
      </c>
      <c r="G145">
        <f t="shared" si="10"/>
        <v>0</v>
      </c>
    </row>
    <row r="146" spans="4:7" x14ac:dyDescent="0.55000000000000004">
      <c r="D146">
        <v>-0.8289771358249709</v>
      </c>
      <c r="E146" s="5">
        <f t="shared" si="8"/>
        <v>-6.09146100408966E-2</v>
      </c>
      <c r="F146" s="5">
        <f t="shared" si="9"/>
        <v>-0.12137191506134493</v>
      </c>
      <c r="G146">
        <f t="shared" si="10"/>
        <v>1</v>
      </c>
    </row>
    <row r="147" spans="4:7" x14ac:dyDescent="0.55000000000000004">
      <c r="D147">
        <v>1.168307335319696</v>
      </c>
      <c r="E147" s="5">
        <f t="shared" si="8"/>
        <v>0.32678275569542542</v>
      </c>
      <c r="F147" s="5">
        <f t="shared" si="9"/>
        <v>0.46017413354313841</v>
      </c>
      <c r="G147">
        <f t="shared" si="10"/>
        <v>0</v>
      </c>
    </row>
    <row r="148" spans="4:7" x14ac:dyDescent="0.55000000000000004">
      <c r="D148">
        <v>-1.4441866369452327</v>
      </c>
      <c r="E148" s="5">
        <f t="shared" si="8"/>
        <v>-0.18033430533527128</v>
      </c>
      <c r="F148" s="5">
        <f t="shared" si="9"/>
        <v>-0.30050145800290684</v>
      </c>
      <c r="G148">
        <f t="shared" si="10"/>
        <v>1</v>
      </c>
    </row>
    <row r="149" spans="4:7" x14ac:dyDescent="0.55000000000000004">
      <c r="D149">
        <v>1.3515500540961511</v>
      </c>
      <c r="E149" s="5">
        <f t="shared" si="8"/>
        <v>0.36235241058753898</v>
      </c>
      <c r="F149" s="5">
        <f t="shared" si="9"/>
        <v>0.51352861588130883</v>
      </c>
      <c r="G149">
        <f t="shared" si="10"/>
        <v>0</v>
      </c>
    </row>
    <row r="150" spans="4:7" x14ac:dyDescent="0.55000000000000004">
      <c r="D150">
        <v>-0.34788399716489948</v>
      </c>
      <c r="E150" s="5">
        <f t="shared" si="8"/>
        <v>3.2471457505822393E-2</v>
      </c>
      <c r="F150" s="5">
        <f t="shared" si="9"/>
        <v>1.8707186258733799E-2</v>
      </c>
      <c r="G150">
        <f t="shared" si="10"/>
        <v>1</v>
      </c>
    </row>
    <row r="151" spans="4:7" x14ac:dyDescent="0.55000000000000004">
      <c r="D151">
        <v>1.2855093700636644</v>
      </c>
      <c r="E151" s="5">
        <f t="shared" si="8"/>
        <v>0.34953310537552473</v>
      </c>
      <c r="F151" s="5">
        <f t="shared" si="9"/>
        <v>0.49429965806328724</v>
      </c>
      <c r="G151">
        <f t="shared" si="10"/>
        <v>0</v>
      </c>
    </row>
    <row r="152" spans="4:7" x14ac:dyDescent="0.55000000000000004">
      <c r="D152">
        <v>0.67590690377983265</v>
      </c>
      <c r="E152" s="5">
        <f t="shared" si="8"/>
        <v>0.23120180418178107</v>
      </c>
      <c r="F152" s="5">
        <f t="shared" si="9"/>
        <v>0.31680270627267171</v>
      </c>
      <c r="G152">
        <f t="shared" si="10"/>
        <v>0</v>
      </c>
    </row>
    <row r="153" spans="4:7" x14ac:dyDescent="0.55000000000000004">
      <c r="D153">
        <v>1.2881355360150337</v>
      </c>
      <c r="E153" s="5">
        <f t="shared" si="8"/>
        <v>0.35004287633506603</v>
      </c>
      <c r="F153" s="5">
        <f t="shared" si="9"/>
        <v>0.49506431450259925</v>
      </c>
      <c r="G153">
        <f t="shared" si="10"/>
        <v>0</v>
      </c>
    </row>
    <row r="154" spans="4:7" x14ac:dyDescent="0.55000000000000004">
      <c r="D154">
        <v>0.27996520657325163</v>
      </c>
      <c r="E154" s="5">
        <f t="shared" si="8"/>
        <v>0.15434467380806716</v>
      </c>
      <c r="F154" s="5">
        <f t="shared" si="9"/>
        <v>0.20151701071210071</v>
      </c>
      <c r="G154">
        <f t="shared" si="10"/>
        <v>0</v>
      </c>
    </row>
    <row r="155" spans="4:7" x14ac:dyDescent="0.55000000000000004">
      <c r="D155">
        <v>0.56981434681802057</v>
      </c>
      <c r="E155" s="5">
        <f t="shared" si="8"/>
        <v>0.21060794013658968</v>
      </c>
      <c r="F155" s="5">
        <f t="shared" si="9"/>
        <v>0.28591191020488438</v>
      </c>
      <c r="G155">
        <f t="shared" si="10"/>
        <v>0</v>
      </c>
    </row>
    <row r="156" spans="4:7" x14ac:dyDescent="0.55000000000000004">
      <c r="D156">
        <v>-1.6188823792617768</v>
      </c>
      <c r="E156" s="5">
        <f t="shared" si="8"/>
        <v>-0.21424488746815051</v>
      </c>
      <c r="F156" s="5">
        <f t="shared" si="9"/>
        <v>-0.35136733120222574</v>
      </c>
      <c r="G156">
        <f t="shared" si="10"/>
        <v>1</v>
      </c>
    </row>
    <row r="157" spans="4:7" x14ac:dyDescent="0.55000000000000004">
      <c r="D157">
        <v>7.1318027039524168E-2</v>
      </c>
      <c r="E157" s="5">
        <f t="shared" si="8"/>
        <v>0.1138437020926162</v>
      </c>
      <c r="F157" s="5">
        <f t="shared" si="9"/>
        <v>0.14076555313892425</v>
      </c>
      <c r="G157">
        <f t="shared" si="10"/>
        <v>0</v>
      </c>
    </row>
    <row r="158" spans="4:7" x14ac:dyDescent="0.55000000000000004">
      <c r="D158">
        <v>0.84035718828090467</v>
      </c>
      <c r="E158" s="5">
        <f t="shared" si="8"/>
        <v>0.26312361753224212</v>
      </c>
      <c r="F158" s="5">
        <f t="shared" si="9"/>
        <v>0.36468542629836298</v>
      </c>
      <c r="G158">
        <f t="shared" si="10"/>
        <v>0</v>
      </c>
    </row>
    <row r="159" spans="4:7" x14ac:dyDescent="0.55000000000000004">
      <c r="D159">
        <v>1.3542239685193636</v>
      </c>
      <c r="E159" s="5">
        <f t="shared" si="8"/>
        <v>0.36287145010998101</v>
      </c>
      <c r="F159" s="5">
        <f t="shared" si="9"/>
        <v>0.51430717516497126</v>
      </c>
      <c r="G159">
        <f t="shared" si="10"/>
        <v>0</v>
      </c>
    </row>
    <row r="160" spans="4:7" x14ac:dyDescent="0.55000000000000004">
      <c r="D160">
        <v>-0.72877355705713853</v>
      </c>
      <c r="E160" s="5">
        <f t="shared" si="8"/>
        <v>-4.1463868753464472E-2</v>
      </c>
      <c r="F160" s="5">
        <f t="shared" si="9"/>
        <v>-9.2195803130196818E-2</v>
      </c>
      <c r="G160">
        <f t="shared" si="10"/>
        <v>1</v>
      </c>
    </row>
    <row r="161" spans="4:7" x14ac:dyDescent="0.55000000000000004">
      <c r="D161">
        <v>-4.021103450213559E-2</v>
      </c>
      <c r="E161" s="5">
        <f t="shared" si="8"/>
        <v>9.2194545957153651E-2</v>
      </c>
      <c r="F161" s="5">
        <f t="shared" si="9"/>
        <v>0.10829181893573048</v>
      </c>
      <c r="G161">
        <f t="shared" si="10"/>
        <v>0</v>
      </c>
    </row>
    <row r="162" spans="4:7" x14ac:dyDescent="0.55000000000000004">
      <c r="D162">
        <v>-1.9846629584208131</v>
      </c>
      <c r="E162" s="5">
        <f t="shared" si="8"/>
        <v>-0.28524737560955699</v>
      </c>
      <c r="F162" s="5">
        <f t="shared" si="9"/>
        <v>-0.45787106341433559</v>
      </c>
      <c r="G162">
        <f t="shared" si="10"/>
        <v>1</v>
      </c>
    </row>
    <row r="163" spans="4:7" x14ac:dyDescent="0.55000000000000004">
      <c r="D163">
        <v>-0.74422587204026058</v>
      </c>
      <c r="E163" s="5">
        <f t="shared" si="8"/>
        <v>-4.4463352252202576E-2</v>
      </c>
      <c r="F163" s="5">
        <f t="shared" si="9"/>
        <v>-9.6695028378303904E-2</v>
      </c>
      <c r="G163">
        <f t="shared" si="10"/>
        <v>1</v>
      </c>
    </row>
    <row r="164" spans="4:7" x14ac:dyDescent="0.55000000000000004">
      <c r="D164">
        <v>0.10249550541630015</v>
      </c>
      <c r="E164" s="5">
        <f t="shared" si="8"/>
        <v>0.11989563230666815</v>
      </c>
      <c r="F164" s="5">
        <f t="shared" si="9"/>
        <v>0.14984344846000242</v>
      </c>
      <c r="G164">
        <f t="shared" si="10"/>
        <v>0</v>
      </c>
    </row>
    <row r="165" spans="4:7" x14ac:dyDescent="0.55000000000000004">
      <c r="D165">
        <v>-1.1292399904050399</v>
      </c>
      <c r="E165" s="5">
        <f t="shared" si="8"/>
        <v>-0.11919930580205901</v>
      </c>
      <c r="F165" s="5">
        <f t="shared" si="9"/>
        <v>-0.20879895870308862</v>
      </c>
      <c r="G165">
        <f t="shared" si="10"/>
        <v>1</v>
      </c>
    </row>
    <row r="166" spans="4:7" x14ac:dyDescent="0.55000000000000004">
      <c r="D166">
        <v>-0.33847186386992689</v>
      </c>
      <c r="E166" s="5">
        <f t="shared" si="8"/>
        <v>3.429846779761557E-2</v>
      </c>
      <c r="F166" s="5">
        <f t="shared" si="9"/>
        <v>2.1447701696423183E-2</v>
      </c>
      <c r="G166">
        <f t="shared" si="10"/>
        <v>1</v>
      </c>
    </row>
    <row r="167" spans="4:7" x14ac:dyDescent="0.55000000000000004">
      <c r="D167">
        <v>-0.26163434085901827</v>
      </c>
      <c r="E167" s="5">
        <f t="shared" si="8"/>
        <v>4.9213571625544732E-2</v>
      </c>
      <c r="F167" s="5">
        <f t="shared" si="9"/>
        <v>4.3820357438316915E-2</v>
      </c>
      <c r="G167">
        <f t="shared" si="10"/>
        <v>1</v>
      </c>
    </row>
    <row r="168" spans="4:7" x14ac:dyDescent="0.55000000000000004">
      <c r="D168">
        <v>-0.49038817451219074</v>
      </c>
      <c r="E168" s="5">
        <f t="shared" si="8"/>
        <v>4.8096522086015503E-3</v>
      </c>
      <c r="F168" s="5">
        <f t="shared" si="9"/>
        <v>-2.2785521687097576E-2</v>
      </c>
      <c r="G168">
        <f t="shared" si="10"/>
        <v>1</v>
      </c>
    </row>
    <row r="169" spans="4:7" x14ac:dyDescent="0.55000000000000004">
      <c r="D169">
        <v>-0.36983124118705746</v>
      </c>
      <c r="E169" s="5">
        <f t="shared" si="8"/>
        <v>2.8211228772513142E-2</v>
      </c>
      <c r="F169" s="5">
        <f t="shared" si="9"/>
        <v>1.2316843158769686E-2</v>
      </c>
      <c r="G169">
        <f t="shared" si="10"/>
        <v>1</v>
      </c>
    </row>
    <row r="170" spans="4:7" x14ac:dyDescent="0.55000000000000004">
      <c r="D170">
        <v>1.7707543520373292</v>
      </c>
      <c r="E170" s="5">
        <f t="shared" si="8"/>
        <v>0.4437250965344709</v>
      </c>
      <c r="F170" s="5">
        <f t="shared" si="9"/>
        <v>0.63558764480170615</v>
      </c>
      <c r="G170">
        <f t="shared" si="10"/>
        <v>0</v>
      </c>
    </row>
    <row r="171" spans="4:7" x14ac:dyDescent="0.55000000000000004">
      <c r="D171">
        <v>-1.1906990948773455</v>
      </c>
      <c r="E171" s="5">
        <f t="shared" si="8"/>
        <v>-0.13112927033573932</v>
      </c>
      <c r="F171" s="5">
        <f t="shared" si="9"/>
        <v>-0.22669390550360891</v>
      </c>
      <c r="G171">
        <f t="shared" si="10"/>
        <v>1</v>
      </c>
    </row>
    <row r="172" spans="4:7" x14ac:dyDescent="0.55000000000000004">
      <c r="D172">
        <v>0.45989963837200776</v>
      </c>
      <c r="E172" s="5">
        <f t="shared" si="8"/>
        <v>0.18927214969920014</v>
      </c>
      <c r="F172" s="5">
        <f t="shared" si="9"/>
        <v>0.25390822454880002</v>
      </c>
      <c r="G172">
        <f t="shared" si="10"/>
        <v>0</v>
      </c>
    </row>
    <row r="173" spans="4:7" x14ac:dyDescent="0.55000000000000004">
      <c r="D173">
        <v>0.21190771803958341</v>
      </c>
      <c r="E173" s="5">
        <f t="shared" si="8"/>
        <v>0.14113388215353076</v>
      </c>
      <c r="F173" s="5">
        <f t="shared" si="9"/>
        <v>0.18170082323029635</v>
      </c>
      <c r="G173">
        <f t="shared" si="10"/>
        <v>0</v>
      </c>
    </row>
    <row r="174" spans="4:7" x14ac:dyDescent="0.55000000000000004">
      <c r="D174">
        <v>0.26488123694434762</v>
      </c>
      <c r="E174" s="5">
        <f t="shared" si="8"/>
        <v>0.15141669065170626</v>
      </c>
      <c r="F174" s="5">
        <f t="shared" si="9"/>
        <v>0.19712503597755937</v>
      </c>
      <c r="G174">
        <f t="shared" si="10"/>
        <v>0</v>
      </c>
    </row>
    <row r="175" spans="4:7" x14ac:dyDescent="0.55000000000000004">
      <c r="D175">
        <v>-0.49461959861218929</v>
      </c>
      <c r="E175" s="5">
        <f t="shared" si="8"/>
        <v>3.9882809915397915E-3</v>
      </c>
      <c r="F175" s="5">
        <f t="shared" si="9"/>
        <v>-2.4017578512690485E-2</v>
      </c>
      <c r="G175">
        <f t="shared" si="10"/>
        <v>1</v>
      </c>
    </row>
    <row r="176" spans="4:7" x14ac:dyDescent="0.55000000000000004">
      <c r="D176">
        <v>-0.20073343875992578</v>
      </c>
      <c r="E176" s="5">
        <f t="shared" si="8"/>
        <v>6.1035182245313881E-2</v>
      </c>
      <c r="F176" s="5">
        <f t="shared" si="9"/>
        <v>6.1552773367970826E-2</v>
      </c>
      <c r="G176">
        <f t="shared" si="10"/>
        <v>0</v>
      </c>
    </row>
    <row r="177" spans="4:7" x14ac:dyDescent="0.55000000000000004">
      <c r="D177">
        <v>-0.4842718226427678</v>
      </c>
      <c r="E177" s="5">
        <f t="shared" si="8"/>
        <v>5.9969109801738807E-3</v>
      </c>
      <c r="F177" s="5">
        <f t="shared" si="9"/>
        <v>-2.1004633529739247E-2</v>
      </c>
      <c r="G177">
        <f t="shared" si="10"/>
        <v>1</v>
      </c>
    </row>
    <row r="178" spans="4:7" x14ac:dyDescent="0.55000000000000004">
      <c r="D178">
        <v>0.64018877310445532</v>
      </c>
      <c r="E178" s="5">
        <f t="shared" si="8"/>
        <v>0.22426847777188155</v>
      </c>
      <c r="F178" s="5">
        <f t="shared" si="9"/>
        <v>0.30640271665782248</v>
      </c>
      <c r="G178">
        <f t="shared" si="10"/>
        <v>0</v>
      </c>
    </row>
    <row r="179" spans="4:7" x14ac:dyDescent="0.55000000000000004">
      <c r="D179">
        <v>-0.47748699216754176</v>
      </c>
      <c r="E179" s="5">
        <f t="shared" si="8"/>
        <v>7.3139296323567055E-3</v>
      </c>
      <c r="F179" s="5">
        <f t="shared" si="9"/>
        <v>-1.9029105551464864E-2</v>
      </c>
      <c r="G179">
        <f t="shared" si="10"/>
        <v>1</v>
      </c>
    </row>
    <row r="180" spans="4:7" x14ac:dyDescent="0.55000000000000004">
      <c r="D180">
        <v>-2.0726020011352375</v>
      </c>
      <c r="E180" s="5">
        <f t="shared" si="8"/>
        <v>-0.30231742031191067</v>
      </c>
      <c r="F180" s="5">
        <f t="shared" si="9"/>
        <v>-0.48347613046786586</v>
      </c>
      <c r="G180">
        <f t="shared" si="10"/>
        <v>1</v>
      </c>
    </row>
    <row r="181" spans="4:7" x14ac:dyDescent="0.55000000000000004">
      <c r="D181">
        <v>-1.1244765119045042</v>
      </c>
      <c r="E181" s="5">
        <f t="shared" si="8"/>
        <v>-0.11827465631267461</v>
      </c>
      <c r="F181" s="5">
        <f t="shared" si="9"/>
        <v>-0.20741198446901199</v>
      </c>
      <c r="G181">
        <f t="shared" si="10"/>
        <v>1</v>
      </c>
    </row>
    <row r="182" spans="4:7" x14ac:dyDescent="0.55000000000000004">
      <c r="D182">
        <v>-1.5179284673649818</v>
      </c>
      <c r="E182" s="5">
        <f t="shared" si="8"/>
        <v>-0.19464849733513512</v>
      </c>
      <c r="F182" s="5">
        <f t="shared" si="9"/>
        <v>-0.32197274600270265</v>
      </c>
      <c r="G182">
        <f t="shared" si="10"/>
        <v>1</v>
      </c>
    </row>
    <row r="183" spans="4:7" x14ac:dyDescent="0.55000000000000004">
      <c r="D183">
        <v>-0.9070299711311236</v>
      </c>
      <c r="E183" s="5">
        <f t="shared" si="8"/>
        <v>-7.606562086265678E-2</v>
      </c>
      <c r="F183" s="5">
        <f t="shared" si="9"/>
        <v>-0.14409843129398525</v>
      </c>
      <c r="G183">
        <f t="shared" si="10"/>
        <v>1</v>
      </c>
    </row>
    <row r="184" spans="4:7" x14ac:dyDescent="0.55000000000000004">
      <c r="D184">
        <v>-0.26139673536818009</v>
      </c>
      <c r="E184" s="5">
        <f t="shared" si="8"/>
        <v>4.925969375997942E-2</v>
      </c>
      <c r="F184" s="5">
        <f t="shared" si="9"/>
        <v>4.3889540639969082E-2</v>
      </c>
      <c r="G184">
        <f t="shared" si="10"/>
        <v>1</v>
      </c>
    </row>
    <row r="185" spans="4:7" x14ac:dyDescent="0.55000000000000004">
      <c r="D185">
        <v>0.16805188352009282</v>
      </c>
      <c r="E185" s="5">
        <f t="shared" si="8"/>
        <v>0.13262092780926049</v>
      </c>
      <c r="F185" s="5">
        <f t="shared" si="9"/>
        <v>0.16893139171389082</v>
      </c>
      <c r="G185">
        <f t="shared" si="10"/>
        <v>0</v>
      </c>
    </row>
    <row r="186" spans="4:7" x14ac:dyDescent="0.55000000000000004">
      <c r="D186">
        <v>0.16146032066899352</v>
      </c>
      <c r="E186" s="5">
        <f t="shared" si="8"/>
        <v>0.13134142476881877</v>
      </c>
      <c r="F186" s="5">
        <f t="shared" si="9"/>
        <v>0.16701213715322805</v>
      </c>
      <c r="G186">
        <f t="shared" si="10"/>
        <v>0</v>
      </c>
    </row>
    <row r="187" spans="4:7" x14ac:dyDescent="0.55000000000000004">
      <c r="D187">
        <v>0.53903704611002468</v>
      </c>
      <c r="E187" s="5">
        <f t="shared" si="8"/>
        <v>0.20463368930684878</v>
      </c>
      <c r="F187" s="5">
        <f t="shared" si="9"/>
        <v>0.27695053396027314</v>
      </c>
      <c r="G187">
        <f t="shared" si="10"/>
        <v>0</v>
      </c>
    </row>
    <row r="188" spans="4:7" x14ac:dyDescent="0.55000000000000004">
      <c r="D188">
        <v>-0.19862682165694423</v>
      </c>
      <c r="E188" s="5">
        <f t="shared" si="8"/>
        <v>6.1444102413292234E-2</v>
      </c>
      <c r="F188" s="5">
        <f t="shared" si="9"/>
        <v>6.2166153619938491E-2</v>
      </c>
      <c r="G188">
        <f t="shared" si="10"/>
        <v>0</v>
      </c>
    </row>
    <row r="189" spans="4:7" x14ac:dyDescent="0.55000000000000004">
      <c r="D189">
        <v>0.64319692683056928</v>
      </c>
      <c r="E189" s="5">
        <f t="shared" si="8"/>
        <v>0.22485239723462885</v>
      </c>
      <c r="F189" s="5">
        <f t="shared" si="9"/>
        <v>0.30727859585194306</v>
      </c>
      <c r="G189">
        <f t="shared" si="10"/>
        <v>0</v>
      </c>
    </row>
    <row r="190" spans="4:7" x14ac:dyDescent="0.55000000000000004">
      <c r="D190">
        <v>-0.7415042091452051</v>
      </c>
      <c r="E190" s="5">
        <f t="shared" si="8"/>
        <v>-4.393504416685981E-2</v>
      </c>
      <c r="F190" s="5">
        <f t="shared" si="9"/>
        <v>-9.5902566250289589E-2</v>
      </c>
      <c r="G190">
        <f t="shared" si="10"/>
        <v>1</v>
      </c>
    </row>
    <row r="191" spans="4:7" x14ac:dyDescent="0.55000000000000004">
      <c r="D191">
        <v>-0.29463535611284897</v>
      </c>
      <c r="E191" s="5">
        <f t="shared" si="8"/>
        <v>4.2807670580711735E-2</v>
      </c>
      <c r="F191" s="5">
        <f t="shared" si="9"/>
        <v>3.4211505871067471E-2</v>
      </c>
      <c r="G191">
        <f t="shared" si="10"/>
        <v>1</v>
      </c>
    </row>
    <row r="192" spans="4:7" x14ac:dyDescent="0.55000000000000004">
      <c r="D192">
        <v>0.45624574340763502</v>
      </c>
      <c r="E192" s="5">
        <f t="shared" si="8"/>
        <v>0.18856288395722365</v>
      </c>
      <c r="F192" s="5">
        <f t="shared" si="9"/>
        <v>0.25284432593583506</v>
      </c>
      <c r="G192">
        <f t="shared" si="10"/>
        <v>0</v>
      </c>
    </row>
    <row r="193" spans="4:7" x14ac:dyDescent="0.55000000000000004">
      <c r="D193">
        <v>-1.0048870535683818</v>
      </c>
      <c r="E193" s="5">
        <f t="shared" si="8"/>
        <v>-9.5060878487537775E-2</v>
      </c>
      <c r="F193" s="5">
        <f t="shared" si="9"/>
        <v>-0.17259131773130665</v>
      </c>
      <c r="G193">
        <f t="shared" si="10"/>
        <v>1</v>
      </c>
    </row>
    <row r="194" spans="4:7" x14ac:dyDescent="0.55000000000000004">
      <c r="D194">
        <v>-0.63493871493847109</v>
      </c>
      <c r="E194" s="5">
        <f t="shared" si="8"/>
        <v>-2.324937721293717E-2</v>
      </c>
      <c r="F194" s="5">
        <f t="shared" si="9"/>
        <v>-6.4874065819405802E-2</v>
      </c>
      <c r="G194">
        <f t="shared" si="10"/>
        <v>1</v>
      </c>
    </row>
    <row r="195" spans="4:7" x14ac:dyDescent="0.55000000000000004">
      <c r="D195">
        <v>1.5138266462599859</v>
      </c>
      <c r="E195" s="5">
        <f t="shared" si="8"/>
        <v>0.39385228364594677</v>
      </c>
      <c r="F195" s="5">
        <f t="shared" si="9"/>
        <v>0.56077842546892032</v>
      </c>
      <c r="G195">
        <f t="shared" si="10"/>
        <v>0</v>
      </c>
    </row>
    <row r="196" spans="4:7" x14ac:dyDescent="0.55000000000000004">
      <c r="D196">
        <v>9.9958015198353678E-2</v>
      </c>
      <c r="E196" s="5">
        <f t="shared" ref="E196:E259" si="11">$B$3+D196*$B$4</f>
        <v>0.11940307439251398</v>
      </c>
      <c r="F196" s="5">
        <f t="shared" ref="F196:F259" si="12">($B$2*(1+E196)-$B$5*(1+$B$6))/$B$7-1</f>
        <v>0.14910461158877109</v>
      </c>
      <c r="G196">
        <f t="shared" ref="G196:G259" si="13">IF(F196&lt;E196,1,0)</f>
        <v>0</v>
      </c>
    </row>
    <row r="197" spans="4:7" x14ac:dyDescent="0.55000000000000004">
      <c r="D197">
        <v>0.26464363145350944</v>
      </c>
      <c r="E197" s="5">
        <f t="shared" si="11"/>
        <v>0.15137056851727157</v>
      </c>
      <c r="F197" s="5">
        <f t="shared" si="12"/>
        <v>0.1970558527759072</v>
      </c>
      <c r="G197">
        <f t="shared" si="13"/>
        <v>0</v>
      </c>
    </row>
    <row r="198" spans="4:7" x14ac:dyDescent="0.55000000000000004">
      <c r="D198">
        <v>-1.7232605387107469</v>
      </c>
      <c r="E198" s="5">
        <f t="shared" si="11"/>
        <v>-0.2345059659691911</v>
      </c>
      <c r="F198" s="5">
        <f t="shared" si="12"/>
        <v>-0.38175894895378659</v>
      </c>
      <c r="G198">
        <f t="shared" si="13"/>
        <v>1</v>
      </c>
    </row>
    <row r="199" spans="4:7" x14ac:dyDescent="0.55000000000000004">
      <c r="D199">
        <v>6.4571850089123473E-2</v>
      </c>
      <c r="E199" s="5">
        <f t="shared" si="11"/>
        <v>0.11253418656278159</v>
      </c>
      <c r="F199" s="5">
        <f t="shared" si="12"/>
        <v>0.13880127984417223</v>
      </c>
      <c r="G199">
        <f t="shared" si="13"/>
        <v>0</v>
      </c>
    </row>
    <row r="200" spans="4:7" x14ac:dyDescent="0.55000000000000004">
      <c r="D200">
        <v>-1.2553346095955931</v>
      </c>
      <c r="E200" s="5">
        <f t="shared" si="11"/>
        <v>-0.1436758149823886</v>
      </c>
      <c r="F200" s="5">
        <f t="shared" si="12"/>
        <v>-0.24551372247358283</v>
      </c>
      <c r="G200">
        <f t="shared" si="13"/>
        <v>1</v>
      </c>
    </row>
    <row r="201" spans="4:7" x14ac:dyDescent="0.55000000000000004">
      <c r="D201">
        <v>4.2814463085960597E-2</v>
      </c>
      <c r="E201" s="5">
        <f t="shared" si="11"/>
        <v>0.10831081140100628</v>
      </c>
      <c r="F201" s="5">
        <f t="shared" si="12"/>
        <v>0.13246621710150941</v>
      </c>
      <c r="G201">
        <f t="shared" si="13"/>
        <v>0</v>
      </c>
    </row>
    <row r="202" spans="4:7" x14ac:dyDescent="0.55000000000000004">
      <c r="D202">
        <v>0.31788431442691945</v>
      </c>
      <c r="E202" s="5">
        <f t="shared" si="11"/>
        <v>0.16170523683167745</v>
      </c>
      <c r="F202" s="5">
        <f t="shared" si="12"/>
        <v>0.2125578552475158</v>
      </c>
      <c r="G202">
        <f t="shared" si="13"/>
        <v>0</v>
      </c>
    </row>
    <row r="203" spans="4:7" x14ac:dyDescent="0.55000000000000004">
      <c r="D203">
        <v>-0.27893179321836215</v>
      </c>
      <c r="E203" s="5">
        <f t="shared" si="11"/>
        <v>4.5855924374713329E-2</v>
      </c>
      <c r="F203" s="5">
        <f t="shared" si="12"/>
        <v>3.8783886562069991E-2</v>
      </c>
      <c r="G203">
        <f t="shared" si="13"/>
        <v>1</v>
      </c>
    </row>
    <row r="204" spans="4:7" x14ac:dyDescent="0.55000000000000004">
      <c r="D204">
        <v>1.7634647520026192</v>
      </c>
      <c r="E204" s="5">
        <f t="shared" si="11"/>
        <v>0.44231009593162302</v>
      </c>
      <c r="F204" s="5">
        <f t="shared" si="12"/>
        <v>0.63346514389743458</v>
      </c>
      <c r="G204">
        <f t="shared" si="13"/>
        <v>0</v>
      </c>
    </row>
    <row r="205" spans="4:7" x14ac:dyDescent="0.55000000000000004">
      <c r="D205">
        <v>0.67331370701140258</v>
      </c>
      <c r="E205" s="5">
        <f t="shared" si="11"/>
        <v>0.23069843294424269</v>
      </c>
      <c r="F205" s="5">
        <f t="shared" si="12"/>
        <v>0.31604764941636421</v>
      </c>
      <c r="G205">
        <f t="shared" si="13"/>
        <v>0</v>
      </c>
    </row>
    <row r="206" spans="4:7" x14ac:dyDescent="0.55000000000000004">
      <c r="D206">
        <v>-1.4691613614559174</v>
      </c>
      <c r="E206" s="5">
        <f t="shared" si="11"/>
        <v>-0.18518220509250194</v>
      </c>
      <c r="F206" s="5">
        <f t="shared" si="12"/>
        <v>-0.30777330763875288</v>
      </c>
      <c r="G206">
        <f t="shared" si="13"/>
        <v>1</v>
      </c>
    </row>
    <row r="207" spans="4:7" x14ac:dyDescent="0.55000000000000004">
      <c r="D207">
        <v>1.9345861801411957</v>
      </c>
      <c r="E207" s="5">
        <f t="shared" si="11"/>
        <v>0.47552685992736032</v>
      </c>
      <c r="F207" s="5">
        <f t="shared" si="12"/>
        <v>0.68329028989104046</v>
      </c>
      <c r="G207">
        <f t="shared" si="13"/>
        <v>0</v>
      </c>
    </row>
    <row r="208" spans="4:7" x14ac:dyDescent="0.55000000000000004">
      <c r="D208">
        <v>-0.29279817681526765</v>
      </c>
      <c r="E208" s="5">
        <f t="shared" si="11"/>
        <v>4.3164289572321567E-2</v>
      </c>
      <c r="F208" s="5">
        <f t="shared" si="12"/>
        <v>3.4746434358482459E-2</v>
      </c>
      <c r="G208">
        <f t="shared" si="13"/>
        <v>1</v>
      </c>
    </row>
    <row r="209" spans="4:7" x14ac:dyDescent="0.55000000000000004">
      <c r="D209">
        <v>-1.0858730092877522</v>
      </c>
      <c r="E209" s="5">
        <f t="shared" si="11"/>
        <v>-0.11078124388748689</v>
      </c>
      <c r="F209" s="5">
        <f t="shared" si="12"/>
        <v>-0.19617186583123036</v>
      </c>
      <c r="G209">
        <f t="shared" si="13"/>
        <v>1</v>
      </c>
    </row>
    <row r="210" spans="4:7" x14ac:dyDescent="0.55000000000000004">
      <c r="D210">
        <v>-0.3129002834612038</v>
      </c>
      <c r="E210" s="5">
        <f t="shared" si="11"/>
        <v>3.92622245911056E-2</v>
      </c>
      <c r="F210" s="5">
        <f t="shared" si="12"/>
        <v>2.8893336886658405E-2</v>
      </c>
      <c r="G210">
        <f t="shared" si="13"/>
        <v>1</v>
      </c>
    </row>
    <row r="211" spans="4:7" x14ac:dyDescent="0.55000000000000004">
      <c r="D211">
        <v>-0.61836772147216834</v>
      </c>
      <c r="E211" s="5">
        <f t="shared" si="11"/>
        <v>-2.0032744526238613E-2</v>
      </c>
      <c r="F211" s="5">
        <f t="shared" si="12"/>
        <v>-6.004911678935787E-2</v>
      </c>
      <c r="G211">
        <f t="shared" si="13"/>
        <v>1</v>
      </c>
    </row>
    <row r="212" spans="4:7" x14ac:dyDescent="0.55000000000000004">
      <c r="D212">
        <v>1.7030197341227904</v>
      </c>
      <c r="E212" s="5">
        <f t="shared" si="11"/>
        <v>0.43057697801954914</v>
      </c>
      <c r="F212" s="5">
        <f t="shared" si="12"/>
        <v>0.61586546702932399</v>
      </c>
      <c r="G212">
        <f t="shared" si="13"/>
        <v>0</v>
      </c>
    </row>
    <row r="213" spans="4:7" x14ac:dyDescent="0.55000000000000004">
      <c r="D213">
        <v>0.75232264862279408</v>
      </c>
      <c r="E213" s="5">
        <f t="shared" si="11"/>
        <v>0.24603503570408694</v>
      </c>
      <c r="F213" s="5">
        <f t="shared" si="12"/>
        <v>0.3390525535561304</v>
      </c>
      <c r="G213">
        <f t="shared" si="13"/>
        <v>0</v>
      </c>
    </row>
    <row r="214" spans="4:7" x14ac:dyDescent="0.55000000000000004">
      <c r="D214">
        <v>-0.55609916671528481</v>
      </c>
      <c r="E214" s="5">
        <f t="shared" si="11"/>
        <v>-7.9456557833836872E-3</v>
      </c>
      <c r="F214" s="5">
        <f t="shared" si="12"/>
        <v>-4.1918483675075557E-2</v>
      </c>
      <c r="G214">
        <f t="shared" si="13"/>
        <v>1</v>
      </c>
    </row>
    <row r="215" spans="4:7" x14ac:dyDescent="0.55000000000000004">
      <c r="D215">
        <v>-1.1896190699189901E-2</v>
      </c>
      <c r="E215" s="5">
        <f t="shared" si="11"/>
        <v>9.7690803757298703E-2</v>
      </c>
      <c r="F215" s="5">
        <f t="shared" si="12"/>
        <v>0.11653620563594824</v>
      </c>
      <c r="G215">
        <f t="shared" si="13"/>
        <v>0</v>
      </c>
    </row>
    <row r="216" spans="4:7" x14ac:dyDescent="0.55000000000000004">
      <c r="D216">
        <v>-1.0882195056183264</v>
      </c>
      <c r="E216" s="5">
        <f t="shared" si="11"/>
        <v>-0.11123672755003808</v>
      </c>
      <c r="F216" s="5">
        <f t="shared" si="12"/>
        <v>-0.19685509132505719</v>
      </c>
      <c r="G216">
        <f t="shared" si="13"/>
        <v>1</v>
      </c>
    </row>
    <row r="217" spans="4:7" x14ac:dyDescent="0.55000000000000004">
      <c r="D217">
        <v>-0.30728187994100153</v>
      </c>
      <c r="E217" s="5">
        <f t="shared" si="11"/>
        <v>4.035282549242724E-2</v>
      </c>
      <c r="F217" s="5">
        <f t="shared" si="12"/>
        <v>3.0529238238640843E-2</v>
      </c>
      <c r="G217">
        <f t="shared" si="13"/>
        <v>1</v>
      </c>
    </row>
    <row r="218" spans="4:7" x14ac:dyDescent="0.55000000000000004">
      <c r="D218">
        <v>0.77919366958667524</v>
      </c>
      <c r="E218" s="5">
        <f t="shared" si="11"/>
        <v>0.25125102981651881</v>
      </c>
      <c r="F218" s="5">
        <f t="shared" si="12"/>
        <v>0.34687654472477836</v>
      </c>
      <c r="G218">
        <f t="shared" si="13"/>
        <v>0</v>
      </c>
    </row>
    <row r="219" spans="4:7" x14ac:dyDescent="0.55000000000000004">
      <c r="D219">
        <v>0.79704022937221453</v>
      </c>
      <c r="E219" s="5">
        <f t="shared" si="11"/>
        <v>0.25471526554070889</v>
      </c>
      <c r="F219" s="5">
        <f t="shared" si="12"/>
        <v>0.35207289831106348</v>
      </c>
      <c r="G219">
        <f t="shared" si="13"/>
        <v>0</v>
      </c>
    </row>
    <row r="220" spans="4:7" x14ac:dyDescent="0.55000000000000004">
      <c r="D220">
        <v>1.0686540008464362</v>
      </c>
      <c r="E220" s="5">
        <f t="shared" si="11"/>
        <v>0.30743882356142094</v>
      </c>
      <c r="F220" s="5">
        <f t="shared" si="12"/>
        <v>0.43115823534213127</v>
      </c>
      <c r="G220">
        <f t="shared" si="13"/>
        <v>0</v>
      </c>
    </row>
    <row r="221" spans="4:7" x14ac:dyDescent="0.55000000000000004">
      <c r="D221">
        <v>0.55842292567831464</v>
      </c>
      <c r="E221" s="5">
        <f t="shared" si="11"/>
        <v>0.20839672584455349</v>
      </c>
      <c r="F221" s="5">
        <f t="shared" si="12"/>
        <v>0.28259508876683004</v>
      </c>
      <c r="G221">
        <f t="shared" si="13"/>
        <v>0</v>
      </c>
    </row>
    <row r="222" spans="4:7" x14ac:dyDescent="0.55000000000000004">
      <c r="D222">
        <v>-2.6433326638652943E-2</v>
      </c>
      <c r="E222" s="5">
        <f t="shared" si="11"/>
        <v>9.48689677141583E-2</v>
      </c>
      <c r="F222" s="5">
        <f t="shared" si="12"/>
        <v>0.11230345157123733</v>
      </c>
      <c r="G222">
        <f t="shared" si="13"/>
        <v>0</v>
      </c>
    </row>
    <row r="223" spans="4:7" x14ac:dyDescent="0.55000000000000004">
      <c r="D223">
        <v>-1.8807986634783447</v>
      </c>
      <c r="E223" s="5">
        <f t="shared" si="11"/>
        <v>-0.265086044499734</v>
      </c>
      <c r="F223" s="5">
        <f t="shared" si="12"/>
        <v>-0.42762906674960099</v>
      </c>
      <c r="G223">
        <f t="shared" si="13"/>
        <v>1</v>
      </c>
    </row>
    <row r="224" spans="4:7" x14ac:dyDescent="0.55000000000000004">
      <c r="D224">
        <v>0.25041003937076312</v>
      </c>
      <c r="E224" s="5">
        <f t="shared" si="11"/>
        <v>0.14860765405257165</v>
      </c>
      <c r="F224" s="5">
        <f t="shared" si="12"/>
        <v>0.19291148107885747</v>
      </c>
      <c r="G224">
        <f t="shared" si="13"/>
        <v>0</v>
      </c>
    </row>
    <row r="225" spans="4:7" x14ac:dyDescent="0.55000000000000004">
      <c r="D225">
        <v>-0.29343709684326313</v>
      </c>
      <c r="E225" s="5">
        <f t="shared" si="11"/>
        <v>4.304026737350676E-2</v>
      </c>
      <c r="F225" s="5">
        <f t="shared" si="12"/>
        <v>3.456040106026026E-2</v>
      </c>
      <c r="G225">
        <f t="shared" si="13"/>
        <v>1</v>
      </c>
    </row>
    <row r="226" spans="4:7" x14ac:dyDescent="0.55000000000000004">
      <c r="D226">
        <v>1.0746293810370844</v>
      </c>
      <c r="E226" s="5">
        <f t="shared" si="11"/>
        <v>0.30859871800442917</v>
      </c>
      <c r="F226" s="5">
        <f t="shared" si="12"/>
        <v>0.43289807700664396</v>
      </c>
      <c r="G226">
        <f t="shared" si="13"/>
        <v>0</v>
      </c>
    </row>
    <row r="227" spans="4:7" x14ac:dyDescent="0.55000000000000004">
      <c r="D227">
        <v>4.5723709263256751E-2</v>
      </c>
      <c r="E227" s="5">
        <f t="shared" si="11"/>
        <v>0.10887553169774486</v>
      </c>
      <c r="F227" s="5">
        <f t="shared" si="12"/>
        <v>0.13331329754661714</v>
      </c>
      <c r="G227">
        <f t="shared" si="13"/>
        <v>0</v>
      </c>
    </row>
    <row r="228" spans="4:7" x14ac:dyDescent="0.55000000000000004">
      <c r="D228">
        <v>-1.499779500591103</v>
      </c>
      <c r="E228" s="5">
        <f t="shared" si="11"/>
        <v>-0.19112556071257364</v>
      </c>
      <c r="F228" s="5">
        <f t="shared" si="12"/>
        <v>-0.31668834106886057</v>
      </c>
      <c r="G228">
        <f t="shared" si="13"/>
        <v>1</v>
      </c>
    </row>
    <row r="229" spans="4:7" x14ac:dyDescent="0.55000000000000004">
      <c r="D229">
        <v>-2.0433617464732379</v>
      </c>
      <c r="E229" s="5">
        <f t="shared" si="11"/>
        <v>-0.29664152893554629</v>
      </c>
      <c r="F229" s="5">
        <f t="shared" si="12"/>
        <v>-0.47496229340331941</v>
      </c>
      <c r="G229">
        <f t="shared" si="13"/>
        <v>1</v>
      </c>
    </row>
    <row r="230" spans="4:7" x14ac:dyDescent="0.55000000000000004">
      <c r="D230">
        <v>-0.4743174031318631</v>
      </c>
      <c r="E230" s="5">
        <f t="shared" si="11"/>
        <v>7.9291856649112841E-3</v>
      </c>
      <c r="F230" s="5">
        <f t="shared" si="12"/>
        <v>-1.8106221502632969E-2</v>
      </c>
      <c r="G230">
        <f t="shared" si="13"/>
        <v>1</v>
      </c>
    </row>
    <row r="231" spans="4:7" x14ac:dyDescent="0.55000000000000004">
      <c r="D231">
        <v>0.20776383280463051</v>
      </c>
      <c r="E231" s="5">
        <f t="shared" si="11"/>
        <v>0.14032950330178706</v>
      </c>
      <c r="F231" s="5">
        <f t="shared" si="12"/>
        <v>0.18049425495268046</v>
      </c>
      <c r="G231">
        <f t="shared" si="13"/>
        <v>0</v>
      </c>
    </row>
    <row r="232" spans="4:7" x14ac:dyDescent="0.55000000000000004">
      <c r="D232">
        <v>1.4682609617011622</v>
      </c>
      <c r="E232" s="5">
        <f t="shared" si="11"/>
        <v>0.38500742647780201</v>
      </c>
      <c r="F232" s="5">
        <f t="shared" si="12"/>
        <v>0.54751113971670318</v>
      </c>
      <c r="G232">
        <f t="shared" si="13"/>
        <v>0</v>
      </c>
    </row>
    <row r="233" spans="4:7" x14ac:dyDescent="0.55000000000000004">
      <c r="D233">
        <v>-1.0783173820527736</v>
      </c>
      <c r="E233" s="5">
        <f t="shared" si="11"/>
        <v>-0.10931460414847766</v>
      </c>
      <c r="F233" s="5">
        <f t="shared" si="12"/>
        <v>-0.19397190622271643</v>
      </c>
      <c r="G233">
        <f t="shared" si="13"/>
        <v>1</v>
      </c>
    </row>
    <row r="234" spans="4:7" x14ac:dyDescent="0.55000000000000004">
      <c r="D234">
        <v>-0.73367118602618575</v>
      </c>
      <c r="E234" s="5">
        <f t="shared" si="11"/>
        <v>-4.2414558490998594E-2</v>
      </c>
      <c r="F234" s="5">
        <f t="shared" si="12"/>
        <v>-9.3621837736497904E-2</v>
      </c>
      <c r="G234">
        <f t="shared" si="13"/>
        <v>1</v>
      </c>
    </row>
    <row r="235" spans="4:7" x14ac:dyDescent="0.55000000000000004">
      <c r="D235">
        <v>1.0013445717049763</v>
      </c>
      <c r="E235" s="5">
        <f t="shared" si="11"/>
        <v>0.29437323939232962</v>
      </c>
      <c r="F235" s="5">
        <f t="shared" si="12"/>
        <v>0.41155985908849479</v>
      </c>
      <c r="G235">
        <f t="shared" si="13"/>
        <v>0</v>
      </c>
    </row>
    <row r="236" spans="4:7" x14ac:dyDescent="0.55000000000000004">
      <c r="D236">
        <v>0.46995637603686191</v>
      </c>
      <c r="E236" s="5">
        <f t="shared" si="11"/>
        <v>0.19122428559015345</v>
      </c>
      <c r="F236" s="5">
        <f t="shared" si="12"/>
        <v>0.25683642838523002</v>
      </c>
      <c r="G236">
        <f t="shared" si="13"/>
        <v>0</v>
      </c>
    </row>
    <row r="237" spans="4:7" x14ac:dyDescent="0.55000000000000004">
      <c r="D237">
        <v>0.51207280193921179</v>
      </c>
      <c r="E237" s="5">
        <f t="shared" si="11"/>
        <v>0.19939959942875352</v>
      </c>
      <c r="F237" s="5">
        <f t="shared" si="12"/>
        <v>0.26909939914313008</v>
      </c>
      <c r="G237">
        <f t="shared" si="13"/>
        <v>0</v>
      </c>
    </row>
    <row r="238" spans="4:7" x14ac:dyDescent="0.55000000000000004">
      <c r="D238">
        <v>1.4957868188503198</v>
      </c>
      <c r="E238" s="5">
        <f t="shared" si="11"/>
        <v>0.3903505323100156</v>
      </c>
      <c r="F238" s="5">
        <f t="shared" si="12"/>
        <v>0.55552579846502348</v>
      </c>
      <c r="G238">
        <f t="shared" si="13"/>
        <v>0</v>
      </c>
    </row>
    <row r="239" spans="4:7" x14ac:dyDescent="0.55000000000000004">
      <c r="D239">
        <v>-0.70092028181534261</v>
      </c>
      <c r="E239" s="5">
        <f t="shared" si="11"/>
        <v>-3.605720706135998E-2</v>
      </c>
      <c r="F239" s="5">
        <f t="shared" si="12"/>
        <v>-8.40858105920399E-2</v>
      </c>
      <c r="G239">
        <f t="shared" si="13"/>
        <v>1</v>
      </c>
    </row>
    <row r="240" spans="4:7" x14ac:dyDescent="0.55000000000000004">
      <c r="D240">
        <v>-0.99216777016408741</v>
      </c>
      <c r="E240" s="5">
        <f t="shared" si="11"/>
        <v>-9.2591909874833067E-2</v>
      </c>
      <c r="F240" s="5">
        <f t="shared" si="12"/>
        <v>-0.1688878648122496</v>
      </c>
      <c r="G240">
        <f t="shared" si="13"/>
        <v>1</v>
      </c>
    </row>
    <row r="241" spans="4:7" x14ac:dyDescent="0.55000000000000004">
      <c r="D241">
        <v>0.38124198908917606</v>
      </c>
      <c r="E241" s="5">
        <f t="shared" si="11"/>
        <v>0.17400373708069711</v>
      </c>
      <c r="F241" s="5">
        <f t="shared" si="12"/>
        <v>0.23100560562104544</v>
      </c>
      <c r="G241">
        <f t="shared" si="13"/>
        <v>0</v>
      </c>
    </row>
    <row r="242" spans="4:7" x14ac:dyDescent="0.55000000000000004">
      <c r="D242">
        <v>0.26076349968207069</v>
      </c>
      <c r="E242" s="5">
        <f t="shared" si="11"/>
        <v>0.15061738744155106</v>
      </c>
      <c r="F242" s="5">
        <f t="shared" si="12"/>
        <v>0.19592608116232668</v>
      </c>
      <c r="G242">
        <f t="shared" si="13"/>
        <v>0</v>
      </c>
    </row>
    <row r="243" spans="4:7" x14ac:dyDescent="0.55000000000000004">
      <c r="D243">
        <v>7.476955943275243E-2</v>
      </c>
      <c r="E243" s="5">
        <f t="shared" si="11"/>
        <v>0.11451368678229902</v>
      </c>
      <c r="F243" s="5">
        <f t="shared" si="12"/>
        <v>0.14177053017344887</v>
      </c>
      <c r="G243">
        <f t="shared" si="13"/>
        <v>0</v>
      </c>
    </row>
    <row r="244" spans="4:7" x14ac:dyDescent="0.55000000000000004">
      <c r="D244">
        <v>0.6608911462535616</v>
      </c>
      <c r="E244" s="5">
        <f t="shared" si="11"/>
        <v>0.2282870618295641</v>
      </c>
      <c r="F244" s="5">
        <f t="shared" si="12"/>
        <v>0.31243059274434604</v>
      </c>
      <c r="G244">
        <f t="shared" si="13"/>
        <v>0</v>
      </c>
    </row>
    <row r="245" spans="4:7" x14ac:dyDescent="0.55000000000000004">
      <c r="D245">
        <v>1.9851995602948591E-2</v>
      </c>
      <c r="E245" s="5">
        <f t="shared" si="11"/>
        <v>0.10385351536602154</v>
      </c>
      <c r="F245" s="5">
        <f t="shared" si="12"/>
        <v>0.12578027304903228</v>
      </c>
      <c r="G245">
        <f t="shared" si="13"/>
        <v>0</v>
      </c>
    </row>
    <row r="246" spans="4:7" x14ac:dyDescent="0.55000000000000004">
      <c r="D246">
        <v>-0.54825932238600217</v>
      </c>
      <c r="E246" s="5">
        <f t="shared" si="11"/>
        <v>-6.4238460271080766E-3</v>
      </c>
      <c r="F246" s="5">
        <f t="shared" si="12"/>
        <v>-3.9635769040662128E-2</v>
      </c>
      <c r="G246">
        <f t="shared" si="13"/>
        <v>1</v>
      </c>
    </row>
    <row r="247" spans="4:7" x14ac:dyDescent="0.55000000000000004">
      <c r="D247">
        <v>-0.44718149183609057</v>
      </c>
      <c r="E247" s="5">
        <f t="shared" si="11"/>
        <v>1.3196598233435428E-2</v>
      </c>
      <c r="F247" s="5">
        <f t="shared" si="12"/>
        <v>-1.0205102649846753E-2</v>
      </c>
      <c r="G247">
        <f t="shared" si="13"/>
        <v>1</v>
      </c>
    </row>
    <row r="248" spans="4:7" x14ac:dyDescent="0.55000000000000004">
      <c r="D248">
        <v>0.71221279540623073</v>
      </c>
      <c r="E248" s="5">
        <f t="shared" si="11"/>
        <v>0.23824922218738745</v>
      </c>
      <c r="F248" s="5">
        <f t="shared" si="12"/>
        <v>0.32737383328108116</v>
      </c>
      <c r="G248">
        <f t="shared" si="13"/>
        <v>0</v>
      </c>
    </row>
    <row r="249" spans="4:7" x14ac:dyDescent="0.55000000000000004">
      <c r="D249">
        <v>-0.74917807069141418</v>
      </c>
      <c r="E249" s="5">
        <f t="shared" si="11"/>
        <v>-4.5424634633051852E-2</v>
      </c>
      <c r="F249" s="5">
        <f t="shared" si="12"/>
        <v>-9.8136951949577611E-2</v>
      </c>
      <c r="G249">
        <f t="shared" si="13"/>
        <v>1</v>
      </c>
    </row>
    <row r="250" spans="4:7" x14ac:dyDescent="0.55000000000000004">
      <c r="D250">
        <v>1.0373560144216754</v>
      </c>
      <c r="E250" s="5">
        <f t="shared" si="11"/>
        <v>0.30136350126004807</v>
      </c>
      <c r="F250" s="5">
        <f t="shared" si="12"/>
        <v>0.42204525189007192</v>
      </c>
      <c r="G250">
        <f t="shared" si="13"/>
        <v>0</v>
      </c>
    </row>
    <row r="251" spans="4:7" x14ac:dyDescent="0.55000000000000004">
      <c r="D251">
        <v>-0.11650172382360324</v>
      </c>
      <c r="E251" s="5">
        <f t="shared" si="11"/>
        <v>7.7385589242444985E-2</v>
      </c>
      <c r="F251" s="5">
        <f t="shared" si="12"/>
        <v>8.6078383863667618E-2</v>
      </c>
      <c r="G251">
        <f t="shared" si="13"/>
        <v>0</v>
      </c>
    </row>
    <row r="252" spans="4:7" x14ac:dyDescent="0.55000000000000004">
      <c r="D252">
        <v>-1.0954408935504034</v>
      </c>
      <c r="E252" s="5">
        <f t="shared" si="11"/>
        <v>-0.11263848734874204</v>
      </c>
      <c r="F252" s="5">
        <f t="shared" si="12"/>
        <v>-0.19895773102311309</v>
      </c>
      <c r="G252">
        <f t="shared" si="13"/>
        <v>1</v>
      </c>
    </row>
    <row r="253" spans="4:7" x14ac:dyDescent="0.55000000000000004">
      <c r="D253">
        <v>-0.34049776331812609</v>
      </c>
      <c r="E253" s="5">
        <f t="shared" si="11"/>
        <v>3.3905215914540862E-2</v>
      </c>
      <c r="F253" s="5">
        <f t="shared" si="12"/>
        <v>2.0857823871811121E-2</v>
      </c>
      <c r="G253">
        <f t="shared" si="13"/>
        <v>1</v>
      </c>
    </row>
    <row r="254" spans="4:7" x14ac:dyDescent="0.55000000000000004">
      <c r="D254">
        <v>-1.5456225810339674</v>
      </c>
      <c r="E254" s="5">
        <f t="shared" si="11"/>
        <v>-0.20002426381757044</v>
      </c>
      <c r="F254" s="5">
        <f t="shared" si="12"/>
        <v>-0.33003639572635568</v>
      </c>
      <c r="G254">
        <f t="shared" si="13"/>
        <v>1</v>
      </c>
    </row>
    <row r="255" spans="4:7" x14ac:dyDescent="0.55000000000000004">
      <c r="D255">
        <v>0.40620648178446572</v>
      </c>
      <c r="E255" s="5">
        <f t="shared" si="11"/>
        <v>0.17884965071730619</v>
      </c>
      <c r="F255" s="5">
        <f t="shared" si="12"/>
        <v>0.23827447607595942</v>
      </c>
      <c r="G255">
        <f t="shared" si="13"/>
        <v>0</v>
      </c>
    </row>
    <row r="256" spans="4:7" x14ac:dyDescent="0.55000000000000004">
      <c r="D256">
        <v>0.9481982488068752</v>
      </c>
      <c r="E256" s="5">
        <f t="shared" si="11"/>
        <v>0.28405688752365621</v>
      </c>
      <c r="F256" s="5">
        <f t="shared" si="12"/>
        <v>0.3960853312854844</v>
      </c>
      <c r="G256">
        <f t="shared" si="13"/>
        <v>0</v>
      </c>
    </row>
    <row r="257" spans="4:7" x14ac:dyDescent="0.55000000000000004">
      <c r="D257">
        <v>1.5223031368805096</v>
      </c>
      <c r="E257" s="5">
        <f t="shared" si="11"/>
        <v>0.3954976742408991</v>
      </c>
      <c r="F257" s="5">
        <f t="shared" si="12"/>
        <v>0.56324651136134851</v>
      </c>
      <c r="G257">
        <f t="shared" si="13"/>
        <v>0</v>
      </c>
    </row>
    <row r="258" spans="4:7" x14ac:dyDescent="0.55000000000000004">
      <c r="D258">
        <v>0.67225755628896877</v>
      </c>
      <c r="E258" s="5">
        <f t="shared" si="11"/>
        <v>0.23049342116008084</v>
      </c>
      <c r="F258" s="5">
        <f t="shared" si="12"/>
        <v>0.31574013174012139</v>
      </c>
      <c r="G258">
        <f t="shared" si="13"/>
        <v>0</v>
      </c>
    </row>
    <row r="259" spans="4:7" x14ac:dyDescent="0.55000000000000004">
      <c r="D259">
        <v>-0.21464757082867436</v>
      </c>
      <c r="E259" s="5">
        <f t="shared" si="11"/>
        <v>5.8334278880021372E-2</v>
      </c>
      <c r="F259" s="5">
        <f t="shared" si="12"/>
        <v>5.7501418320032194E-2</v>
      </c>
      <c r="G259">
        <f t="shared" si="13"/>
        <v>1</v>
      </c>
    </row>
    <row r="260" spans="4:7" x14ac:dyDescent="0.55000000000000004">
      <c r="D260">
        <v>-1.5408386389026418</v>
      </c>
      <c r="E260" s="5">
        <f t="shared" ref="E260:E323" si="14">$B$3+D260*$B$4</f>
        <v>-0.19909564208694286</v>
      </c>
      <c r="F260" s="5">
        <f t="shared" ref="F260:F323" si="15">($B$2*(1+E260)-$B$5*(1+$B$6))/$B$7-1</f>
        <v>-0.32864346313041426</v>
      </c>
      <c r="G260">
        <f t="shared" ref="G260:G323" si="16">IF(F260&lt;E260,1,0)</f>
        <v>1</v>
      </c>
    </row>
    <row r="261" spans="4:7" x14ac:dyDescent="0.55000000000000004">
      <c r="D261">
        <v>0.87326498032780364</v>
      </c>
      <c r="E261" s="5">
        <f t="shared" si="14"/>
        <v>0.26951142281141172</v>
      </c>
      <c r="F261" s="5">
        <f t="shared" si="15"/>
        <v>0.37426713421711755</v>
      </c>
      <c r="G261">
        <f t="shared" si="16"/>
        <v>0</v>
      </c>
    </row>
    <row r="262" spans="4:7" x14ac:dyDescent="0.55000000000000004">
      <c r="D262">
        <v>-1.0346093404223211</v>
      </c>
      <c r="E262" s="5">
        <f t="shared" si="14"/>
        <v>-0.1008303382131859</v>
      </c>
      <c r="F262" s="5">
        <f t="shared" si="15"/>
        <v>-0.18124550731977884</v>
      </c>
      <c r="G262">
        <f t="shared" si="16"/>
        <v>1</v>
      </c>
    </row>
    <row r="263" spans="4:7" x14ac:dyDescent="0.55000000000000004">
      <c r="D263">
        <v>1.5955083654262125</v>
      </c>
      <c r="E263" s="5">
        <f t="shared" si="14"/>
        <v>0.40970770524816402</v>
      </c>
      <c r="F263" s="5">
        <f t="shared" si="15"/>
        <v>0.58456155787224606</v>
      </c>
      <c r="G263">
        <f t="shared" si="16"/>
        <v>0</v>
      </c>
    </row>
    <row r="264" spans="4:7" x14ac:dyDescent="0.55000000000000004">
      <c r="D264">
        <v>1.2830651030526496</v>
      </c>
      <c r="E264" s="5">
        <f t="shared" si="14"/>
        <v>0.34905864322703395</v>
      </c>
      <c r="F264" s="5">
        <f t="shared" si="15"/>
        <v>0.49358796484055101</v>
      </c>
      <c r="G264">
        <f t="shared" si="16"/>
        <v>0</v>
      </c>
    </row>
    <row r="265" spans="4:7" x14ac:dyDescent="0.55000000000000004">
      <c r="D265">
        <v>-1.128951225837227</v>
      </c>
      <c r="E265" s="5">
        <f t="shared" si="14"/>
        <v>-0.1191432530645164</v>
      </c>
      <c r="F265" s="5">
        <f t="shared" si="15"/>
        <v>-0.20871487959677471</v>
      </c>
      <c r="G265">
        <f t="shared" si="16"/>
        <v>1</v>
      </c>
    </row>
    <row r="266" spans="4:7" x14ac:dyDescent="0.55000000000000004">
      <c r="D266">
        <v>-0.46330342229339294</v>
      </c>
      <c r="E266" s="5">
        <f t="shared" si="14"/>
        <v>1.0067134174017736E-2</v>
      </c>
      <c r="F266" s="5">
        <f t="shared" si="15"/>
        <v>-1.4899298738973443E-2</v>
      </c>
      <c r="G266">
        <f t="shared" si="16"/>
        <v>1</v>
      </c>
    </row>
    <row r="267" spans="4:7" x14ac:dyDescent="0.55000000000000004">
      <c r="D267">
        <v>-1.2615828381967731</v>
      </c>
      <c r="E267" s="5">
        <f t="shared" si="14"/>
        <v>-0.14488867264197253</v>
      </c>
      <c r="F267" s="5">
        <f t="shared" si="15"/>
        <v>-0.24733300896295873</v>
      </c>
      <c r="G267">
        <f t="shared" si="16"/>
        <v>1</v>
      </c>
    </row>
    <row r="268" spans="4:7" x14ac:dyDescent="0.55000000000000004">
      <c r="D268">
        <v>-0.87741682364139706</v>
      </c>
      <c r="E268" s="5">
        <f t="shared" si="14"/>
        <v>-7.0317346423638932E-2</v>
      </c>
      <c r="F268" s="5">
        <f t="shared" si="15"/>
        <v>-0.13547601963545841</v>
      </c>
      <c r="G268">
        <f t="shared" si="16"/>
        <v>1</v>
      </c>
    </row>
    <row r="269" spans="4:7" x14ac:dyDescent="0.55000000000000004">
      <c r="D269">
        <v>0.28147724151494913</v>
      </c>
      <c r="E269" s="5">
        <f t="shared" si="14"/>
        <v>0.15463817829992427</v>
      </c>
      <c r="F269" s="5">
        <f t="shared" si="15"/>
        <v>0.2019572674498864</v>
      </c>
      <c r="G269">
        <f t="shared" si="16"/>
        <v>0</v>
      </c>
    </row>
    <row r="270" spans="4:7" x14ac:dyDescent="0.55000000000000004">
      <c r="D270">
        <v>1.1429506230342668</v>
      </c>
      <c r="E270" s="5">
        <f t="shared" si="14"/>
        <v>0.32186070743498874</v>
      </c>
      <c r="F270" s="5">
        <f t="shared" si="15"/>
        <v>0.45279106115248324</v>
      </c>
      <c r="G270">
        <f t="shared" si="16"/>
        <v>0</v>
      </c>
    </row>
    <row r="271" spans="4:7" x14ac:dyDescent="0.55000000000000004">
      <c r="D271">
        <v>-0.48573383537586778</v>
      </c>
      <c r="E271" s="5">
        <f t="shared" si="14"/>
        <v>5.7131164113556621E-3</v>
      </c>
      <c r="F271" s="5">
        <f t="shared" si="15"/>
        <v>-2.1430325382966298E-2</v>
      </c>
      <c r="G271">
        <f t="shared" si="16"/>
        <v>1</v>
      </c>
    </row>
    <row r="272" spans="4:7" x14ac:dyDescent="0.55000000000000004">
      <c r="D272">
        <v>-0.24764858608250506</v>
      </c>
      <c r="E272" s="5">
        <f t="shared" si="14"/>
        <v>5.1928377835188375E-2</v>
      </c>
      <c r="F272" s="5">
        <f t="shared" si="15"/>
        <v>4.789256675278275E-2</v>
      </c>
      <c r="G272">
        <f t="shared" si="16"/>
        <v>1</v>
      </c>
    </row>
    <row r="273" spans="4:7" x14ac:dyDescent="0.55000000000000004">
      <c r="D273">
        <v>-1.1280826583970338</v>
      </c>
      <c r="E273" s="5">
        <f t="shared" si="14"/>
        <v>-0.11897465349175035</v>
      </c>
      <c r="F273" s="5">
        <f t="shared" si="15"/>
        <v>-0.20846198023762552</v>
      </c>
      <c r="G273">
        <f t="shared" si="16"/>
        <v>1</v>
      </c>
    </row>
    <row r="274" spans="4:7" x14ac:dyDescent="0.55000000000000004">
      <c r="D274">
        <v>0.86634145191055723</v>
      </c>
      <c r="E274" s="5">
        <f t="shared" si="14"/>
        <v>0.26816748119080291</v>
      </c>
      <c r="F274" s="5">
        <f t="shared" si="15"/>
        <v>0.37225122178620396</v>
      </c>
      <c r="G274">
        <f t="shared" si="16"/>
        <v>0</v>
      </c>
    </row>
    <row r="275" spans="4:7" x14ac:dyDescent="0.55000000000000004">
      <c r="D275">
        <v>-0.92026766651542857</v>
      </c>
      <c r="E275" s="5">
        <f t="shared" si="14"/>
        <v>-7.8635219586855321E-2</v>
      </c>
      <c r="F275" s="5">
        <f t="shared" si="15"/>
        <v>-0.14795282938028309</v>
      </c>
      <c r="G275">
        <f t="shared" si="16"/>
        <v>1</v>
      </c>
    </row>
    <row r="276" spans="4:7" x14ac:dyDescent="0.55000000000000004">
      <c r="D276">
        <v>-0.23567508833366446</v>
      </c>
      <c r="E276" s="5">
        <f t="shared" si="14"/>
        <v>5.4252580322586098E-2</v>
      </c>
      <c r="F276" s="5">
        <f t="shared" si="15"/>
        <v>5.1378870483879346E-2</v>
      </c>
      <c r="G276">
        <f t="shared" si="16"/>
        <v>1</v>
      </c>
    </row>
    <row r="277" spans="4:7" x14ac:dyDescent="0.55000000000000004">
      <c r="D277">
        <v>7.1624981501372531E-2</v>
      </c>
      <c r="E277" s="5">
        <f t="shared" si="14"/>
        <v>0.11390328571126387</v>
      </c>
      <c r="F277" s="5">
        <f t="shared" si="15"/>
        <v>0.14085492856689563</v>
      </c>
      <c r="G277">
        <f t="shared" si="16"/>
        <v>0</v>
      </c>
    </row>
    <row r="278" spans="4:7" x14ac:dyDescent="0.55000000000000004">
      <c r="D278">
        <v>0.62198523664847016</v>
      </c>
      <c r="E278" s="5">
        <f t="shared" si="14"/>
        <v>0.22073494850600495</v>
      </c>
      <c r="F278" s="5">
        <f t="shared" si="15"/>
        <v>0.30110242275900756</v>
      </c>
      <c r="G278">
        <f t="shared" si="16"/>
        <v>0</v>
      </c>
    </row>
    <row r="279" spans="4:7" x14ac:dyDescent="0.55000000000000004">
      <c r="D279">
        <v>1.620019247638993</v>
      </c>
      <c r="E279" s="5">
        <f t="shared" si="14"/>
        <v>0.41446556753721592</v>
      </c>
      <c r="F279" s="5">
        <f t="shared" si="15"/>
        <v>0.59169835130582404</v>
      </c>
      <c r="G279">
        <f t="shared" si="16"/>
        <v>0</v>
      </c>
    </row>
    <row r="280" spans="4:7" x14ac:dyDescent="0.55000000000000004">
      <c r="D280">
        <v>0.55699274525977671</v>
      </c>
      <c r="E280" s="5">
        <f t="shared" si="14"/>
        <v>0.20811911031766911</v>
      </c>
      <c r="F280" s="5">
        <f t="shared" si="15"/>
        <v>0.28217866547650372</v>
      </c>
      <c r="G280">
        <f t="shared" si="16"/>
        <v>0</v>
      </c>
    </row>
    <row r="281" spans="4:7" x14ac:dyDescent="0.55000000000000004">
      <c r="D281">
        <v>-1.9023082131752744</v>
      </c>
      <c r="E281" s="5">
        <f t="shared" si="14"/>
        <v>-0.26926131140645304</v>
      </c>
      <c r="F281" s="5">
        <f t="shared" si="15"/>
        <v>-0.43389196710967959</v>
      </c>
      <c r="G281">
        <f t="shared" si="16"/>
        <v>1</v>
      </c>
    </row>
    <row r="282" spans="4:7" x14ac:dyDescent="0.55000000000000004">
      <c r="D282">
        <v>-0.64047071646200493</v>
      </c>
      <c r="E282" s="5">
        <f t="shared" si="14"/>
        <v>-2.4323206429009842E-2</v>
      </c>
      <c r="F282" s="5">
        <f t="shared" si="15"/>
        <v>-6.6484809643514775E-2</v>
      </c>
      <c r="G282">
        <f t="shared" si="16"/>
        <v>1</v>
      </c>
    </row>
    <row r="283" spans="4:7" x14ac:dyDescent="0.55000000000000004">
      <c r="D283">
        <v>-5.7980287238024175E-2</v>
      </c>
      <c r="E283" s="5">
        <f t="shared" si="14"/>
        <v>8.8745316477660069E-2</v>
      </c>
      <c r="F283" s="5">
        <f t="shared" si="15"/>
        <v>0.10311797471649031</v>
      </c>
      <c r="G283">
        <f t="shared" si="16"/>
        <v>0</v>
      </c>
    </row>
    <row r="284" spans="4:7" x14ac:dyDescent="0.55000000000000004">
      <c r="D284">
        <v>-0.87404941950808279</v>
      </c>
      <c r="E284" s="5">
        <f t="shared" si="14"/>
        <v>-6.9663692059066973E-2</v>
      </c>
      <c r="F284" s="5">
        <f t="shared" si="15"/>
        <v>-0.13449553808860037</v>
      </c>
      <c r="G284">
        <f t="shared" si="16"/>
        <v>1</v>
      </c>
    </row>
    <row r="285" spans="4:7" x14ac:dyDescent="0.55000000000000004">
      <c r="D285">
        <v>-0.99668341135839</v>
      </c>
      <c r="E285" s="5">
        <f t="shared" si="14"/>
        <v>-9.3468451109161188E-2</v>
      </c>
      <c r="F285" s="5">
        <f t="shared" si="15"/>
        <v>-0.17020267666374189</v>
      </c>
      <c r="G285">
        <f t="shared" si="16"/>
        <v>1</v>
      </c>
    </row>
    <row r="286" spans="4:7" x14ac:dyDescent="0.55000000000000004">
      <c r="D286">
        <v>0.95880523076630197</v>
      </c>
      <c r="E286" s="5">
        <f t="shared" si="14"/>
        <v>0.28611583256803719</v>
      </c>
      <c r="F286" s="5">
        <f t="shared" si="15"/>
        <v>0.39917374885205614</v>
      </c>
      <c r="G286">
        <f t="shared" si="16"/>
        <v>0</v>
      </c>
    </row>
    <row r="287" spans="4:7" x14ac:dyDescent="0.55000000000000004">
      <c r="D287">
        <v>1.063656327460194</v>
      </c>
      <c r="E287" s="5">
        <f t="shared" si="14"/>
        <v>0.30646871397780906</v>
      </c>
      <c r="F287" s="5">
        <f t="shared" si="15"/>
        <v>0.42970307096671356</v>
      </c>
      <c r="G287">
        <f t="shared" si="16"/>
        <v>0</v>
      </c>
    </row>
    <row r="288" spans="4:7" x14ac:dyDescent="0.55000000000000004">
      <c r="D288">
        <v>1.0252483662043232</v>
      </c>
      <c r="E288" s="5">
        <f t="shared" si="14"/>
        <v>0.29901325852450061</v>
      </c>
      <c r="F288" s="5">
        <f t="shared" si="15"/>
        <v>0.41851988778675109</v>
      </c>
      <c r="G288">
        <f t="shared" si="16"/>
        <v>0</v>
      </c>
    </row>
    <row r="289" spans="4:7" x14ac:dyDescent="0.55000000000000004">
      <c r="D289">
        <v>0.2892068096116418</v>
      </c>
      <c r="E289" s="5">
        <f t="shared" si="14"/>
        <v>0.15613858208950052</v>
      </c>
      <c r="F289" s="5">
        <f t="shared" si="15"/>
        <v>0.20420787313425071</v>
      </c>
      <c r="G289">
        <f t="shared" si="16"/>
        <v>0</v>
      </c>
    </row>
    <row r="290" spans="4:7" x14ac:dyDescent="0.55000000000000004">
      <c r="D290">
        <v>0.76702235674019903</v>
      </c>
      <c r="E290" s="5">
        <f t="shared" si="14"/>
        <v>0.2488884289971037</v>
      </c>
      <c r="F290" s="5">
        <f t="shared" si="15"/>
        <v>0.3433326434956554</v>
      </c>
      <c r="G290">
        <f t="shared" si="16"/>
        <v>0</v>
      </c>
    </row>
    <row r="291" spans="4:7" x14ac:dyDescent="0.55000000000000004">
      <c r="D291">
        <v>-0.40354962038691156</v>
      </c>
      <c r="E291" s="5">
        <f t="shared" si="14"/>
        <v>2.1666078604099817E-2</v>
      </c>
      <c r="F291" s="5">
        <f t="shared" si="15"/>
        <v>2.4991179061499835E-3</v>
      </c>
      <c r="G291">
        <f t="shared" si="16"/>
        <v>1</v>
      </c>
    </row>
    <row r="292" spans="4:7" x14ac:dyDescent="0.55000000000000004">
      <c r="D292">
        <v>0.30607907319790684</v>
      </c>
      <c r="E292" s="5">
        <f t="shared" si="14"/>
        <v>0.15941369499450142</v>
      </c>
      <c r="F292" s="5">
        <f t="shared" si="15"/>
        <v>0.20912054249175194</v>
      </c>
      <c r="G292">
        <f t="shared" si="16"/>
        <v>0</v>
      </c>
    </row>
    <row r="293" spans="4:7" x14ac:dyDescent="0.55000000000000004">
      <c r="D293">
        <v>1.4848728824290447</v>
      </c>
      <c r="E293" s="5">
        <f t="shared" si="14"/>
        <v>0.38823200364698696</v>
      </c>
      <c r="F293" s="5">
        <f t="shared" si="15"/>
        <v>0.5523480054704808</v>
      </c>
      <c r="G293">
        <f t="shared" si="16"/>
        <v>0</v>
      </c>
    </row>
    <row r="294" spans="4:7" x14ac:dyDescent="0.55000000000000004">
      <c r="D294">
        <v>1.3065937309875153</v>
      </c>
      <c r="E294" s="5">
        <f t="shared" si="14"/>
        <v>0.35362583793641328</v>
      </c>
      <c r="F294" s="5">
        <f t="shared" si="15"/>
        <v>0.50043875690461981</v>
      </c>
      <c r="G294">
        <f t="shared" si="16"/>
        <v>0</v>
      </c>
    </row>
    <row r="295" spans="4:7" x14ac:dyDescent="0.55000000000000004">
      <c r="D295">
        <v>0.74654735726653598</v>
      </c>
      <c r="E295" s="5">
        <f t="shared" si="14"/>
        <v>0.24491398095323427</v>
      </c>
      <c r="F295" s="5">
        <f t="shared" si="15"/>
        <v>0.3373709714298514</v>
      </c>
      <c r="G295">
        <f t="shared" si="16"/>
        <v>0</v>
      </c>
    </row>
    <row r="296" spans="4:7" x14ac:dyDescent="0.55000000000000004">
      <c r="D296">
        <v>0.80727659224066883</v>
      </c>
      <c r="E296" s="5">
        <f t="shared" si="14"/>
        <v>0.25670226888257452</v>
      </c>
      <c r="F296" s="5">
        <f t="shared" si="15"/>
        <v>0.35505340332386193</v>
      </c>
      <c r="G296">
        <f t="shared" si="16"/>
        <v>0</v>
      </c>
    </row>
    <row r="297" spans="4:7" x14ac:dyDescent="0.55000000000000004">
      <c r="D297">
        <v>-0.20455900084925815</v>
      </c>
      <c r="E297" s="5">
        <f t="shared" si="14"/>
        <v>6.0292593812908517E-2</v>
      </c>
      <c r="F297" s="5">
        <f t="shared" si="15"/>
        <v>6.0438890719362703E-2</v>
      </c>
      <c r="G297">
        <f t="shared" si="16"/>
        <v>0</v>
      </c>
    </row>
    <row r="298" spans="4:7" x14ac:dyDescent="0.55000000000000004">
      <c r="D298">
        <v>-0.41177827370120212</v>
      </c>
      <c r="E298" s="5">
        <f t="shared" si="14"/>
        <v>2.0068796264203811E-2</v>
      </c>
      <c r="F298" s="5">
        <f t="shared" si="15"/>
        <v>1.0319439630590566E-4</v>
      </c>
      <c r="G298">
        <f t="shared" si="16"/>
        <v>1</v>
      </c>
    </row>
    <row r="299" spans="4:7" x14ac:dyDescent="0.55000000000000004">
      <c r="D299">
        <v>-1.3462295100907795</v>
      </c>
      <c r="E299" s="5">
        <f t="shared" si="14"/>
        <v>-0.16131962786431253</v>
      </c>
      <c r="F299" s="5">
        <f t="shared" si="15"/>
        <v>-0.27197944179646871</v>
      </c>
      <c r="G299">
        <f t="shared" si="16"/>
        <v>1</v>
      </c>
    </row>
    <row r="300" spans="4:7" x14ac:dyDescent="0.55000000000000004">
      <c r="D300">
        <v>3.116438165307045</v>
      </c>
      <c r="E300" s="5">
        <f t="shared" si="14"/>
        <v>0.70493879796563197</v>
      </c>
      <c r="F300" s="5">
        <f t="shared" si="15"/>
        <v>1.0274081969484481</v>
      </c>
      <c r="G300">
        <f t="shared" si="16"/>
        <v>0</v>
      </c>
    </row>
    <row r="301" spans="4:7" x14ac:dyDescent="0.55000000000000004">
      <c r="D301">
        <v>-0.78928678703960031</v>
      </c>
      <c r="E301" s="5">
        <f t="shared" si="14"/>
        <v>-5.3210227469682264E-2</v>
      </c>
      <c r="F301" s="5">
        <f t="shared" si="15"/>
        <v>-0.10981534120452341</v>
      </c>
      <c r="G301">
        <f t="shared" si="16"/>
        <v>1</v>
      </c>
    </row>
    <row r="302" spans="4:7" x14ac:dyDescent="0.55000000000000004">
      <c r="D302">
        <v>2.1325649868231267</v>
      </c>
      <c r="E302" s="5">
        <f t="shared" si="14"/>
        <v>0.51395696987470074</v>
      </c>
      <c r="F302" s="5">
        <f t="shared" si="15"/>
        <v>0.74093545481205103</v>
      </c>
      <c r="G302">
        <f t="shared" si="16"/>
        <v>0</v>
      </c>
    </row>
    <row r="303" spans="4:7" x14ac:dyDescent="0.55000000000000004">
      <c r="D303">
        <v>-0.95856194093357772</v>
      </c>
      <c r="E303" s="5">
        <f t="shared" si="14"/>
        <v>-8.6068607033257249E-2</v>
      </c>
      <c r="F303" s="5">
        <f t="shared" si="15"/>
        <v>-0.1591029105498859</v>
      </c>
      <c r="G303">
        <f t="shared" si="16"/>
        <v>1</v>
      </c>
    </row>
    <row r="304" spans="4:7" x14ac:dyDescent="0.55000000000000004">
      <c r="D304">
        <v>-0.20049924387421925</v>
      </c>
      <c r="E304" s="5">
        <f t="shared" si="14"/>
        <v>6.1080642339541372E-2</v>
      </c>
      <c r="F304" s="5">
        <f t="shared" si="15"/>
        <v>6.1620963509312121E-2</v>
      </c>
      <c r="G304">
        <f t="shared" si="16"/>
        <v>0</v>
      </c>
    </row>
    <row r="305" spans="4:7" x14ac:dyDescent="0.55000000000000004">
      <c r="D305">
        <v>1.2806322047254071</v>
      </c>
      <c r="E305" s="5">
        <f t="shared" si="14"/>
        <v>0.34858638787923379</v>
      </c>
      <c r="F305" s="5">
        <f t="shared" si="15"/>
        <v>0.4928795818188505</v>
      </c>
      <c r="G305">
        <f t="shared" si="16"/>
        <v>0</v>
      </c>
    </row>
    <row r="306" spans="4:7" x14ac:dyDescent="0.55000000000000004">
      <c r="D306">
        <v>-0.56442331697326154</v>
      </c>
      <c r="E306" s="5">
        <f t="shared" si="14"/>
        <v>-9.5614752490811861E-3</v>
      </c>
      <c r="F306" s="5">
        <f t="shared" si="15"/>
        <v>-4.4342212873621611E-2</v>
      </c>
      <c r="G306">
        <f t="shared" si="16"/>
        <v>1</v>
      </c>
    </row>
    <row r="307" spans="4:7" x14ac:dyDescent="0.55000000000000004">
      <c r="D307">
        <v>0.18561308934295084</v>
      </c>
      <c r="E307" s="5">
        <f t="shared" si="14"/>
        <v>0.13602977283611506</v>
      </c>
      <c r="F307" s="5">
        <f t="shared" si="15"/>
        <v>0.17404465925417245</v>
      </c>
      <c r="G307">
        <f t="shared" si="16"/>
        <v>0</v>
      </c>
    </row>
    <row r="308" spans="4:7" x14ac:dyDescent="0.55000000000000004">
      <c r="D308">
        <v>-1.2092436918464955</v>
      </c>
      <c r="E308" s="5">
        <f t="shared" si="14"/>
        <v>-0.13472900362233556</v>
      </c>
      <c r="F308" s="5">
        <f t="shared" si="15"/>
        <v>-0.23209350543350338</v>
      </c>
      <c r="G308">
        <f t="shared" si="16"/>
        <v>1</v>
      </c>
    </row>
    <row r="309" spans="4:7" x14ac:dyDescent="0.55000000000000004">
      <c r="D309">
        <v>0.16045305528678</v>
      </c>
      <c r="E309" s="5">
        <f t="shared" si="14"/>
        <v>0.13114590222762676</v>
      </c>
      <c r="F309" s="5">
        <f t="shared" si="15"/>
        <v>0.16671885334143988</v>
      </c>
      <c r="G309">
        <f t="shared" si="16"/>
        <v>0</v>
      </c>
    </row>
    <row r="310" spans="4:7" x14ac:dyDescent="0.55000000000000004">
      <c r="D310">
        <v>0.46620016291853972</v>
      </c>
      <c r="E310" s="5">
        <f t="shared" si="14"/>
        <v>0.19049515864196109</v>
      </c>
      <c r="F310" s="5">
        <f t="shared" si="15"/>
        <v>0.25574273796294178</v>
      </c>
      <c r="G310">
        <f t="shared" si="16"/>
        <v>0</v>
      </c>
    </row>
    <row r="311" spans="4:7" x14ac:dyDescent="0.55000000000000004">
      <c r="D311">
        <v>-0.23968823370523751</v>
      </c>
      <c r="E311" s="5">
        <f t="shared" si="14"/>
        <v>5.3473579678784924E-2</v>
      </c>
      <c r="F311" s="5">
        <f t="shared" si="15"/>
        <v>5.0210369518177256E-2</v>
      </c>
      <c r="G311">
        <f t="shared" si="16"/>
        <v>1</v>
      </c>
    </row>
    <row r="312" spans="4:7" x14ac:dyDescent="0.55000000000000004">
      <c r="D312">
        <v>-1.3638555174111389</v>
      </c>
      <c r="E312" s="5">
        <f t="shared" si="14"/>
        <v>-0.16474105165510389</v>
      </c>
      <c r="F312" s="5">
        <f t="shared" si="15"/>
        <v>-0.2771115774826558</v>
      </c>
      <c r="G312">
        <f t="shared" si="16"/>
        <v>1</v>
      </c>
    </row>
    <row r="313" spans="4:7" x14ac:dyDescent="0.55000000000000004">
      <c r="D313">
        <v>0.62765707298240159</v>
      </c>
      <c r="E313" s="5">
        <f t="shared" si="14"/>
        <v>0.22183592137057268</v>
      </c>
      <c r="F313" s="5">
        <f t="shared" si="15"/>
        <v>0.30275388205585907</v>
      </c>
      <c r="G313">
        <f t="shared" si="16"/>
        <v>0</v>
      </c>
    </row>
    <row r="314" spans="4:7" x14ac:dyDescent="0.55000000000000004">
      <c r="D314">
        <v>-0.21981691133987624</v>
      </c>
      <c r="E314" s="5">
        <f t="shared" si="14"/>
        <v>5.7330846605980597E-2</v>
      </c>
      <c r="F314" s="5">
        <f t="shared" si="15"/>
        <v>5.5996269908970886E-2</v>
      </c>
      <c r="G314">
        <f t="shared" si="16"/>
        <v>1</v>
      </c>
    </row>
    <row r="315" spans="4:7" x14ac:dyDescent="0.55000000000000004">
      <c r="D315">
        <v>1.3467979442793876</v>
      </c>
      <c r="E315" s="5">
        <f t="shared" si="14"/>
        <v>0.36142996789884524</v>
      </c>
      <c r="F315" s="5">
        <f t="shared" si="15"/>
        <v>0.51214495184826814</v>
      </c>
      <c r="G315">
        <f t="shared" si="16"/>
        <v>0</v>
      </c>
    </row>
    <row r="316" spans="4:7" x14ac:dyDescent="0.55000000000000004">
      <c r="D316">
        <v>-1.2339251043158583</v>
      </c>
      <c r="E316" s="5">
        <f t="shared" si="14"/>
        <v>-0.13951996792174731</v>
      </c>
      <c r="F316" s="5">
        <f t="shared" si="15"/>
        <v>-0.23927995188262108</v>
      </c>
      <c r="G316">
        <f t="shared" si="16"/>
        <v>1</v>
      </c>
    </row>
    <row r="317" spans="4:7" x14ac:dyDescent="0.55000000000000004">
      <c r="D317">
        <v>-1.4368470147019252</v>
      </c>
      <c r="E317" s="5">
        <f t="shared" si="14"/>
        <v>-0.17890959480938451</v>
      </c>
      <c r="F317" s="5">
        <f t="shared" si="15"/>
        <v>-0.29836439221407673</v>
      </c>
      <c r="G317">
        <f t="shared" si="16"/>
        <v>1</v>
      </c>
    </row>
    <row r="318" spans="4:7" x14ac:dyDescent="0.55000000000000004">
      <c r="D318">
        <v>-1.3238513929536566</v>
      </c>
      <c r="E318" s="5">
        <f t="shared" si="14"/>
        <v>-0.15697576138482744</v>
      </c>
      <c r="F318" s="5">
        <f t="shared" si="15"/>
        <v>-0.26546364207724127</v>
      </c>
      <c r="G318">
        <f t="shared" si="16"/>
        <v>1</v>
      </c>
    </row>
    <row r="319" spans="4:7" x14ac:dyDescent="0.55000000000000004">
      <c r="D319">
        <v>2.6600537239573896</v>
      </c>
      <c r="E319" s="5">
        <f t="shared" si="14"/>
        <v>0.61634899103998231</v>
      </c>
      <c r="F319" s="5">
        <f t="shared" si="15"/>
        <v>0.89452348655997382</v>
      </c>
      <c r="G319">
        <f t="shared" si="16"/>
        <v>0</v>
      </c>
    </row>
    <row r="320" spans="4:7" x14ac:dyDescent="0.55000000000000004">
      <c r="D320">
        <v>0.8218785296776332</v>
      </c>
      <c r="E320" s="5">
        <f t="shared" si="14"/>
        <v>0.25953668368965166</v>
      </c>
      <c r="F320" s="5">
        <f t="shared" si="15"/>
        <v>0.35930502553447763</v>
      </c>
      <c r="G320">
        <f t="shared" si="16"/>
        <v>0</v>
      </c>
    </row>
    <row r="321" spans="4:7" x14ac:dyDescent="0.55000000000000004">
      <c r="D321">
        <v>-0.67101154854753986</v>
      </c>
      <c r="E321" s="5">
        <f t="shared" si="14"/>
        <v>-3.0251555804385127E-2</v>
      </c>
      <c r="F321" s="5">
        <f t="shared" si="15"/>
        <v>-7.5377333706577732E-2</v>
      </c>
      <c r="G321">
        <f t="shared" si="16"/>
        <v>1</v>
      </c>
    </row>
    <row r="322" spans="4:7" x14ac:dyDescent="0.55000000000000004">
      <c r="D322">
        <v>0.5142544523550896</v>
      </c>
      <c r="E322" s="5">
        <f t="shared" si="14"/>
        <v>0.19982308448129021</v>
      </c>
      <c r="F322" s="5">
        <f t="shared" si="15"/>
        <v>0.26973462672193538</v>
      </c>
      <c r="G322">
        <f t="shared" si="16"/>
        <v>0</v>
      </c>
    </row>
    <row r="323" spans="4:7" x14ac:dyDescent="0.55000000000000004">
      <c r="D323">
        <v>-0.51775032261502929</v>
      </c>
      <c r="E323" s="5">
        <f t="shared" si="14"/>
        <v>-5.0167569366663112E-4</v>
      </c>
      <c r="F323" s="5">
        <f t="shared" si="15"/>
        <v>-3.0752513540500015E-2</v>
      </c>
      <c r="G323">
        <f t="shared" si="16"/>
        <v>1</v>
      </c>
    </row>
    <row r="324" spans="4:7" x14ac:dyDescent="0.55000000000000004">
      <c r="D324">
        <v>2.5569534045644104</v>
      </c>
      <c r="E324" s="5">
        <f t="shared" ref="E324:E387" si="17">$B$3+D324*$B$4</f>
        <v>0.59633595693657138</v>
      </c>
      <c r="F324" s="5">
        <f t="shared" ref="F324:F387" si="18">($B$2*(1+E324)-$B$5*(1+$B$6))/$B$7-1</f>
        <v>0.86450393540485715</v>
      </c>
      <c r="G324">
        <f t="shared" ref="G324:G387" si="19">IF(F324&lt;E324,1,0)</f>
        <v>0</v>
      </c>
    </row>
    <row r="325" spans="4:7" x14ac:dyDescent="0.55000000000000004">
      <c r="D325">
        <v>1.1817337508546188</v>
      </c>
      <c r="E325" s="5">
        <f t="shared" si="17"/>
        <v>0.32938898731108884</v>
      </c>
      <c r="F325" s="5">
        <f t="shared" si="18"/>
        <v>0.46408348096663321</v>
      </c>
      <c r="G325">
        <f t="shared" si="19"/>
        <v>0</v>
      </c>
    </row>
    <row r="326" spans="4:7" x14ac:dyDescent="0.55000000000000004">
      <c r="D326">
        <v>-0.38791313272668049</v>
      </c>
      <c r="E326" s="5">
        <f t="shared" si="17"/>
        <v>2.4701312274026541E-2</v>
      </c>
      <c r="F326" s="5">
        <f t="shared" si="18"/>
        <v>7.0519684110397218E-3</v>
      </c>
      <c r="G326">
        <f t="shared" si="19"/>
        <v>1</v>
      </c>
    </row>
    <row r="327" spans="4:7" x14ac:dyDescent="0.55000000000000004">
      <c r="D327">
        <v>-2.5205008569173515</v>
      </c>
      <c r="E327" s="5">
        <f t="shared" si="17"/>
        <v>-0.38926007120205552</v>
      </c>
      <c r="F327" s="5">
        <f t="shared" si="18"/>
        <v>-0.61389010680308331</v>
      </c>
      <c r="G327">
        <f t="shared" si="19"/>
        <v>1</v>
      </c>
    </row>
    <row r="328" spans="4:7" x14ac:dyDescent="0.55000000000000004">
      <c r="D328">
        <v>-1.9276740204077214</v>
      </c>
      <c r="E328" s="5">
        <f t="shared" si="17"/>
        <v>-0.2741851251074422</v>
      </c>
      <c r="F328" s="5">
        <f t="shared" si="18"/>
        <v>-0.44127768766116338</v>
      </c>
      <c r="G328">
        <f t="shared" si="19"/>
        <v>1</v>
      </c>
    </row>
    <row r="329" spans="4:7" x14ac:dyDescent="0.55000000000000004">
      <c r="D329">
        <v>1.9600520317908376</v>
      </c>
      <c r="E329" s="5">
        <f t="shared" si="17"/>
        <v>0.48047009347442726</v>
      </c>
      <c r="F329" s="5">
        <f t="shared" si="18"/>
        <v>0.69070514021164087</v>
      </c>
      <c r="G329">
        <f t="shared" si="19"/>
        <v>0</v>
      </c>
    </row>
    <row r="330" spans="4:7" x14ac:dyDescent="0.55000000000000004">
      <c r="D330">
        <v>0.35691982702701353</v>
      </c>
      <c r="E330" s="5">
        <f t="shared" si="17"/>
        <v>0.16928250768311007</v>
      </c>
      <c r="F330" s="5">
        <f t="shared" si="18"/>
        <v>0.22392376152466542</v>
      </c>
      <c r="G330">
        <f t="shared" si="19"/>
        <v>0</v>
      </c>
    </row>
    <row r="331" spans="4:7" x14ac:dyDescent="0.55000000000000004">
      <c r="D331">
        <v>2.4578548618592322</v>
      </c>
      <c r="E331" s="5">
        <f t="shared" si="17"/>
        <v>0.5770997166762708</v>
      </c>
      <c r="F331" s="5">
        <f t="shared" si="18"/>
        <v>0.83564957501440618</v>
      </c>
      <c r="G331">
        <f t="shared" si="19"/>
        <v>0</v>
      </c>
    </row>
    <row r="332" spans="4:7" x14ac:dyDescent="0.55000000000000004">
      <c r="D332">
        <v>0.75181560532655567</v>
      </c>
      <c r="E332" s="5">
        <f t="shared" si="17"/>
        <v>0.24593661239328374</v>
      </c>
      <c r="F332" s="5">
        <f t="shared" si="18"/>
        <v>0.33890491858992577</v>
      </c>
      <c r="G332">
        <f t="shared" si="19"/>
        <v>0</v>
      </c>
    </row>
    <row r="333" spans="4:7" x14ac:dyDescent="0.55000000000000004">
      <c r="D333">
        <v>0.70444684752146713</v>
      </c>
      <c r="E333" s="5">
        <f t="shared" si="17"/>
        <v>0.2367417566356011</v>
      </c>
      <c r="F333" s="5">
        <f t="shared" si="18"/>
        <v>0.3251126349534017</v>
      </c>
      <c r="G333">
        <f t="shared" si="19"/>
        <v>0</v>
      </c>
    </row>
    <row r="334" spans="4:7" x14ac:dyDescent="0.55000000000000004">
      <c r="D334">
        <v>0.703367959431489</v>
      </c>
      <c r="E334" s="5">
        <f t="shared" si="17"/>
        <v>0.23653233125005796</v>
      </c>
      <c r="F334" s="5">
        <f t="shared" si="18"/>
        <v>0.32479849687508677</v>
      </c>
      <c r="G334">
        <f t="shared" si="19"/>
        <v>0</v>
      </c>
    </row>
    <row r="335" spans="4:7" x14ac:dyDescent="0.55000000000000004">
      <c r="D335">
        <v>0.17294155441049952</v>
      </c>
      <c r="E335" s="5">
        <f t="shared" si="17"/>
        <v>0.13357007278631114</v>
      </c>
      <c r="F335" s="5">
        <f t="shared" si="18"/>
        <v>0.17035510917946661</v>
      </c>
      <c r="G335">
        <f t="shared" si="19"/>
        <v>0</v>
      </c>
    </row>
    <row r="336" spans="4:7" x14ac:dyDescent="0.55000000000000004">
      <c r="D336">
        <v>-0.90541561803547665</v>
      </c>
      <c r="E336" s="5">
        <f t="shared" si="17"/>
        <v>-7.5752255164583782E-2</v>
      </c>
      <c r="F336" s="5">
        <f t="shared" si="18"/>
        <v>-0.14362838274687562</v>
      </c>
      <c r="G336">
        <f t="shared" si="19"/>
        <v>1</v>
      </c>
    </row>
    <row r="337" spans="4:7" x14ac:dyDescent="0.55000000000000004">
      <c r="D337">
        <v>-0.501634076499613</v>
      </c>
      <c r="E337" s="5">
        <f t="shared" si="17"/>
        <v>2.6266849654057317E-3</v>
      </c>
      <c r="F337" s="5">
        <f t="shared" si="18"/>
        <v>-2.6059972551891408E-2</v>
      </c>
      <c r="G337">
        <f t="shared" si="19"/>
        <v>1</v>
      </c>
    </row>
    <row r="338" spans="4:7" x14ac:dyDescent="0.55000000000000004">
      <c r="D338">
        <v>-0.69204816099954769</v>
      </c>
      <c r="E338" s="5">
        <f t="shared" si="17"/>
        <v>-3.4335019802372913E-2</v>
      </c>
      <c r="F338" s="5">
        <f t="shared" si="18"/>
        <v>-8.1502529703559201E-2</v>
      </c>
      <c r="G338">
        <f t="shared" si="19"/>
        <v>1</v>
      </c>
    </row>
    <row r="339" spans="4:7" x14ac:dyDescent="0.55000000000000004">
      <c r="D339">
        <v>-0.37343738767958712</v>
      </c>
      <c r="E339" s="5">
        <f t="shared" si="17"/>
        <v>2.7511231593437407E-2</v>
      </c>
      <c r="F339" s="5">
        <f t="shared" si="18"/>
        <v>1.1266847390156043E-2</v>
      </c>
      <c r="G339">
        <f t="shared" si="19"/>
        <v>1</v>
      </c>
    </row>
    <row r="340" spans="4:7" x14ac:dyDescent="0.55000000000000004">
      <c r="D340">
        <v>-0.85835154095548205</v>
      </c>
      <c r="E340" s="5">
        <f t="shared" si="17"/>
        <v>-6.66165416654107E-2</v>
      </c>
      <c r="F340" s="5">
        <f t="shared" si="18"/>
        <v>-0.12992481249811605</v>
      </c>
      <c r="G340">
        <f t="shared" si="19"/>
        <v>1</v>
      </c>
    </row>
    <row r="341" spans="4:7" x14ac:dyDescent="0.55000000000000004">
      <c r="D341">
        <v>1.1382599041098729</v>
      </c>
      <c r="E341" s="5">
        <f t="shared" si="17"/>
        <v>0.32095018147002452</v>
      </c>
      <c r="F341" s="5">
        <f t="shared" si="18"/>
        <v>0.45142527220503692</v>
      </c>
      <c r="G341">
        <f t="shared" si="19"/>
        <v>0</v>
      </c>
    </row>
    <row r="342" spans="4:7" x14ac:dyDescent="0.55000000000000004">
      <c r="D342">
        <v>0.26377279027656186</v>
      </c>
      <c r="E342" s="5">
        <f t="shared" si="17"/>
        <v>0.15120152758436739</v>
      </c>
      <c r="F342" s="5">
        <f t="shared" si="18"/>
        <v>0.19680229137655125</v>
      </c>
      <c r="G342">
        <f t="shared" si="19"/>
        <v>0</v>
      </c>
    </row>
    <row r="343" spans="4:7" x14ac:dyDescent="0.55000000000000004">
      <c r="D343">
        <v>8.1369080362492241E-2</v>
      </c>
      <c r="E343" s="5">
        <f t="shared" si="17"/>
        <v>0.11579473458322417</v>
      </c>
      <c r="F343" s="5">
        <f t="shared" si="18"/>
        <v>0.14369210187483628</v>
      </c>
      <c r="G343">
        <f t="shared" si="19"/>
        <v>0</v>
      </c>
    </row>
    <row r="344" spans="4:7" x14ac:dyDescent="0.55000000000000004">
      <c r="D344">
        <v>0.36704705053125508</v>
      </c>
      <c r="E344" s="5">
        <f t="shared" si="17"/>
        <v>0.17124832573834542</v>
      </c>
      <c r="F344" s="5">
        <f t="shared" si="18"/>
        <v>0.22687248860751819</v>
      </c>
      <c r="G344">
        <f t="shared" si="19"/>
        <v>0</v>
      </c>
    </row>
    <row r="345" spans="4:7" x14ac:dyDescent="0.55000000000000004">
      <c r="D345">
        <v>-0.44701209844788536</v>
      </c>
      <c r="E345" s="5">
        <f t="shared" si="17"/>
        <v>1.3229479563726193E-2</v>
      </c>
      <c r="F345" s="5">
        <f t="shared" si="18"/>
        <v>-1.0155780654410584E-2</v>
      </c>
      <c r="G345">
        <f t="shared" si="19"/>
        <v>1</v>
      </c>
    </row>
    <row r="346" spans="4:7" x14ac:dyDescent="0.55000000000000004">
      <c r="D346">
        <v>0.28275167096580844</v>
      </c>
      <c r="E346" s="5">
        <f t="shared" si="17"/>
        <v>0.15488556065734665</v>
      </c>
      <c r="F346" s="5">
        <f t="shared" si="18"/>
        <v>0.20232834098601993</v>
      </c>
      <c r="G346">
        <f t="shared" si="19"/>
        <v>0</v>
      </c>
    </row>
    <row r="347" spans="4:7" x14ac:dyDescent="0.55000000000000004">
      <c r="D347">
        <v>-1.3343969840207137</v>
      </c>
      <c r="E347" s="5">
        <f t="shared" si="17"/>
        <v>-0.15902278970547895</v>
      </c>
      <c r="F347" s="5">
        <f t="shared" si="18"/>
        <v>-0.26853418455821843</v>
      </c>
      <c r="G347">
        <f t="shared" si="19"/>
        <v>1</v>
      </c>
    </row>
    <row r="348" spans="4:7" x14ac:dyDescent="0.55000000000000004">
      <c r="D348">
        <v>-1.1084966899943538</v>
      </c>
      <c r="E348" s="5">
        <f t="shared" si="17"/>
        <v>-0.11517277726189012</v>
      </c>
      <c r="F348" s="5">
        <f t="shared" si="18"/>
        <v>-0.20275916589283516</v>
      </c>
      <c r="G348">
        <f t="shared" si="19"/>
        <v>1</v>
      </c>
    </row>
    <row r="349" spans="4:7" x14ac:dyDescent="0.55000000000000004">
      <c r="D349">
        <v>0.33571950552868657</v>
      </c>
      <c r="E349" s="5">
        <f t="shared" si="17"/>
        <v>0.16516726575517685</v>
      </c>
      <c r="F349" s="5">
        <f t="shared" si="18"/>
        <v>0.2177508986327652</v>
      </c>
      <c r="G349">
        <f t="shared" si="19"/>
        <v>0</v>
      </c>
    </row>
    <row r="350" spans="4:7" x14ac:dyDescent="0.55000000000000004">
      <c r="D350">
        <v>0.1141916072811</v>
      </c>
      <c r="E350" s="5">
        <f t="shared" si="17"/>
        <v>0.1221659888572139</v>
      </c>
      <c r="F350" s="5">
        <f t="shared" si="18"/>
        <v>0.15324898328582104</v>
      </c>
      <c r="G350">
        <f t="shared" si="19"/>
        <v>0</v>
      </c>
    </row>
    <row r="351" spans="4:7" x14ac:dyDescent="0.55000000000000004">
      <c r="D351">
        <v>-0.74291392593295313</v>
      </c>
      <c r="E351" s="5">
        <f t="shared" si="17"/>
        <v>-4.4208687452501005E-2</v>
      </c>
      <c r="F351" s="5">
        <f t="shared" si="18"/>
        <v>-9.6313031178751451E-2</v>
      </c>
      <c r="G351">
        <f t="shared" si="19"/>
        <v>1</v>
      </c>
    </row>
    <row r="352" spans="4:7" x14ac:dyDescent="0.55000000000000004">
      <c r="D352">
        <v>-8.8278966359212063E-2</v>
      </c>
      <c r="E352" s="5">
        <f t="shared" si="17"/>
        <v>8.2863971956995741E-2</v>
      </c>
      <c r="F352" s="5">
        <f t="shared" si="18"/>
        <v>9.4295957935493613E-2</v>
      </c>
      <c r="G352">
        <f t="shared" si="19"/>
        <v>0</v>
      </c>
    </row>
    <row r="353" spans="4:7" x14ac:dyDescent="0.55000000000000004">
      <c r="D353">
        <v>0.56092858358169906</v>
      </c>
      <c r="E353" s="5">
        <f t="shared" si="17"/>
        <v>0.20888310471677385</v>
      </c>
      <c r="F353" s="5">
        <f t="shared" si="18"/>
        <v>0.28332465707516086</v>
      </c>
      <c r="G353">
        <f t="shared" si="19"/>
        <v>0</v>
      </c>
    </row>
    <row r="354" spans="4:7" x14ac:dyDescent="0.55000000000000004">
      <c r="D354">
        <v>-0.99542603493318893</v>
      </c>
      <c r="E354" s="5">
        <f t="shared" si="17"/>
        <v>-9.3224378952774772E-2</v>
      </c>
      <c r="F354" s="5">
        <f t="shared" si="18"/>
        <v>-0.16983656842916228</v>
      </c>
      <c r="G354">
        <f t="shared" si="19"/>
        <v>1</v>
      </c>
    </row>
    <row r="355" spans="4:7" x14ac:dyDescent="0.55000000000000004">
      <c r="D355">
        <v>0.18304490367881954</v>
      </c>
      <c r="E355" s="5">
        <f t="shared" si="17"/>
        <v>0.13553125656009612</v>
      </c>
      <c r="F355" s="5">
        <f t="shared" si="18"/>
        <v>0.17329688484014394</v>
      </c>
      <c r="G355">
        <f t="shared" si="19"/>
        <v>0</v>
      </c>
    </row>
    <row r="356" spans="4:7" x14ac:dyDescent="0.55000000000000004">
      <c r="D356">
        <v>0.23661982595513109</v>
      </c>
      <c r="E356" s="5">
        <f t="shared" si="17"/>
        <v>0.14593080481480727</v>
      </c>
      <c r="F356" s="5">
        <f t="shared" si="18"/>
        <v>0.18889620722221112</v>
      </c>
      <c r="G356">
        <f t="shared" si="19"/>
        <v>0</v>
      </c>
    </row>
    <row r="357" spans="4:7" x14ac:dyDescent="0.55000000000000004">
      <c r="D357">
        <v>0.47826006266404875</v>
      </c>
      <c r="E357" s="5">
        <f t="shared" si="17"/>
        <v>0.19283613281460776</v>
      </c>
      <c r="F357" s="5">
        <f t="shared" si="18"/>
        <v>0.25925419922191173</v>
      </c>
      <c r="G357">
        <f t="shared" si="19"/>
        <v>0</v>
      </c>
    </row>
    <row r="358" spans="4:7" x14ac:dyDescent="0.55000000000000004">
      <c r="D358">
        <v>0.41436123865423724</v>
      </c>
      <c r="E358" s="5">
        <f t="shared" si="17"/>
        <v>0.18043258885271293</v>
      </c>
      <c r="F358" s="5">
        <f t="shared" si="18"/>
        <v>0.24064888327906964</v>
      </c>
      <c r="G358">
        <f t="shared" si="19"/>
        <v>0</v>
      </c>
    </row>
    <row r="359" spans="4:7" x14ac:dyDescent="0.55000000000000004">
      <c r="D359">
        <v>-0.33920059649972245</v>
      </c>
      <c r="E359" s="5">
        <f t="shared" si="17"/>
        <v>3.4157011873344592E-2</v>
      </c>
      <c r="F359" s="5">
        <f t="shared" si="18"/>
        <v>2.1235517810016757E-2</v>
      </c>
      <c r="G359">
        <f t="shared" si="19"/>
        <v>1</v>
      </c>
    </row>
    <row r="360" spans="4:7" x14ac:dyDescent="0.55000000000000004">
      <c r="D360">
        <v>0.50893504521809518</v>
      </c>
      <c r="E360" s="5">
        <f t="shared" si="17"/>
        <v>0.19879052243813278</v>
      </c>
      <c r="F360" s="5">
        <f t="shared" si="18"/>
        <v>0.26818578365719903</v>
      </c>
      <c r="G360">
        <f t="shared" si="19"/>
        <v>0</v>
      </c>
    </row>
    <row r="361" spans="4:7" x14ac:dyDescent="0.55000000000000004">
      <c r="D361">
        <v>0.82338146967231296</v>
      </c>
      <c r="E361" s="5">
        <f t="shared" si="17"/>
        <v>0.25982842274095624</v>
      </c>
      <c r="F361" s="5">
        <f t="shared" si="18"/>
        <v>0.35974263411143448</v>
      </c>
      <c r="G361">
        <f t="shared" si="19"/>
        <v>0</v>
      </c>
    </row>
    <row r="362" spans="4:7" x14ac:dyDescent="0.55000000000000004">
      <c r="D362">
        <v>-5.7290208133053966E-2</v>
      </c>
      <c r="E362" s="5">
        <f t="shared" si="17"/>
        <v>8.8879269279582812E-2</v>
      </c>
      <c r="F362" s="5">
        <f t="shared" si="18"/>
        <v>0.10331890391937404</v>
      </c>
      <c r="G362">
        <f t="shared" si="19"/>
        <v>0</v>
      </c>
    </row>
    <row r="363" spans="4:7" x14ac:dyDescent="0.55000000000000004">
      <c r="D363">
        <v>-0.55057171266525984</v>
      </c>
      <c r="E363" s="5">
        <f t="shared" si="17"/>
        <v>-6.8727092875872781E-3</v>
      </c>
      <c r="F363" s="5">
        <f t="shared" si="18"/>
        <v>-4.0309063931381006E-2</v>
      </c>
      <c r="G363">
        <f t="shared" si="19"/>
        <v>1</v>
      </c>
    </row>
    <row r="364" spans="4:7" x14ac:dyDescent="0.55000000000000004">
      <c r="D364">
        <v>-0.42037072489620186</v>
      </c>
      <c r="E364" s="5">
        <f t="shared" si="17"/>
        <v>1.8400896302206843E-2</v>
      </c>
      <c r="F364" s="5">
        <f t="shared" si="18"/>
        <v>-2.3986555466897208E-3</v>
      </c>
      <c r="G364">
        <f t="shared" si="19"/>
        <v>1</v>
      </c>
    </row>
    <row r="365" spans="4:7" x14ac:dyDescent="0.55000000000000004">
      <c r="D365">
        <v>-1.9335948309162632</v>
      </c>
      <c r="E365" s="5">
        <f t="shared" si="17"/>
        <v>-0.27533442690713528</v>
      </c>
      <c r="F365" s="5">
        <f t="shared" si="18"/>
        <v>-0.44300164036070289</v>
      </c>
      <c r="G365">
        <f t="shared" si="19"/>
        <v>1</v>
      </c>
    </row>
    <row r="366" spans="4:7" x14ac:dyDescent="0.55000000000000004">
      <c r="D366">
        <v>-1.2658347259275615</v>
      </c>
      <c r="E366" s="5">
        <f t="shared" si="17"/>
        <v>-0.14571401610027745</v>
      </c>
      <c r="F366" s="5">
        <f t="shared" si="18"/>
        <v>-0.24857102415041632</v>
      </c>
      <c r="G366">
        <f t="shared" si="19"/>
        <v>1</v>
      </c>
    </row>
    <row r="367" spans="4:7" x14ac:dyDescent="0.55000000000000004">
      <c r="D367">
        <v>-1.5982459444785491</v>
      </c>
      <c r="E367" s="5">
        <f t="shared" si="17"/>
        <v>-0.21023910285447373</v>
      </c>
      <c r="F367" s="5">
        <f t="shared" si="18"/>
        <v>-0.34535865428171053</v>
      </c>
      <c r="G367">
        <f t="shared" si="19"/>
        <v>1</v>
      </c>
    </row>
    <row r="368" spans="4:7" x14ac:dyDescent="0.55000000000000004">
      <c r="D368">
        <v>-0.49099185162049253</v>
      </c>
      <c r="E368" s="5">
        <f t="shared" si="17"/>
        <v>4.6924710919277746E-3</v>
      </c>
      <c r="F368" s="5">
        <f t="shared" si="18"/>
        <v>-2.2961293362108282E-2</v>
      </c>
      <c r="G368">
        <f t="shared" si="19"/>
        <v>1</v>
      </c>
    </row>
    <row r="369" spans="4:7" x14ac:dyDescent="0.55000000000000004">
      <c r="D369">
        <v>0.62532990341424011</v>
      </c>
      <c r="E369" s="5">
        <f t="shared" si="17"/>
        <v>0.22138418926919562</v>
      </c>
      <c r="F369" s="5">
        <f t="shared" si="18"/>
        <v>0.3020762839037936</v>
      </c>
      <c r="G369">
        <f t="shared" si="19"/>
        <v>0</v>
      </c>
    </row>
    <row r="370" spans="4:7" x14ac:dyDescent="0.55000000000000004">
      <c r="D370">
        <v>0.81024609244195744</v>
      </c>
      <c r="E370" s="5">
        <f t="shared" si="17"/>
        <v>0.25727868522297359</v>
      </c>
      <c r="F370" s="5">
        <f t="shared" si="18"/>
        <v>0.35591802783446047</v>
      </c>
      <c r="G370">
        <f t="shared" si="19"/>
        <v>0</v>
      </c>
    </row>
    <row r="371" spans="4:7" x14ac:dyDescent="0.55000000000000004">
      <c r="D371">
        <v>-0.14543729776050895</v>
      </c>
      <c r="E371" s="5">
        <f t="shared" si="17"/>
        <v>7.1768840124590172E-2</v>
      </c>
      <c r="F371" s="5">
        <f t="shared" si="18"/>
        <v>7.765326018688512E-2</v>
      </c>
      <c r="G371">
        <f t="shared" si="19"/>
        <v>0</v>
      </c>
    </row>
    <row r="372" spans="4:7" x14ac:dyDescent="0.55000000000000004">
      <c r="D372">
        <v>-1.0821554496942554</v>
      </c>
      <c r="E372" s="5">
        <f t="shared" si="17"/>
        <v>-0.11005962006164274</v>
      </c>
      <c r="F372" s="5">
        <f t="shared" si="18"/>
        <v>-0.19508943009246416</v>
      </c>
      <c r="G372">
        <f t="shared" si="19"/>
        <v>1</v>
      </c>
    </row>
    <row r="373" spans="4:7" x14ac:dyDescent="0.55000000000000004">
      <c r="D373">
        <v>-0.69010638981126249</v>
      </c>
      <c r="E373" s="5">
        <f t="shared" si="17"/>
        <v>-3.3958098244409068E-2</v>
      </c>
      <c r="F373" s="5">
        <f t="shared" si="18"/>
        <v>-8.0937147366613726E-2</v>
      </c>
      <c r="G373">
        <f t="shared" si="19"/>
        <v>1</v>
      </c>
    </row>
    <row r="374" spans="4:7" x14ac:dyDescent="0.55000000000000004">
      <c r="D374">
        <v>-0.29024363357166294</v>
      </c>
      <c r="E374" s="5">
        <f t="shared" si="17"/>
        <v>4.3660157687511719E-2</v>
      </c>
      <c r="F374" s="5">
        <f t="shared" si="18"/>
        <v>3.5490236531267705E-2</v>
      </c>
      <c r="G374">
        <f t="shared" si="19"/>
        <v>1</v>
      </c>
    </row>
    <row r="375" spans="4:7" x14ac:dyDescent="0.55000000000000004">
      <c r="D375">
        <v>1.5664136299164966</v>
      </c>
      <c r="E375" s="5">
        <f t="shared" si="17"/>
        <v>0.40406006092064001</v>
      </c>
      <c r="F375" s="5">
        <f t="shared" si="18"/>
        <v>0.57609009138096012</v>
      </c>
      <c r="G375">
        <f t="shared" si="19"/>
        <v>0</v>
      </c>
    </row>
    <row r="376" spans="4:7" x14ac:dyDescent="0.55000000000000004">
      <c r="D376">
        <v>0.82112819654867053</v>
      </c>
      <c r="E376" s="5">
        <f t="shared" si="17"/>
        <v>0.25939103484406845</v>
      </c>
      <c r="F376" s="5">
        <f t="shared" si="18"/>
        <v>0.35908655226610287</v>
      </c>
      <c r="G376">
        <f t="shared" si="19"/>
        <v>0</v>
      </c>
    </row>
    <row r="377" spans="4:7" x14ac:dyDescent="0.55000000000000004">
      <c r="D377">
        <v>0.91246874944772571</v>
      </c>
      <c r="E377" s="5">
        <f t="shared" si="17"/>
        <v>0.27712135431306606</v>
      </c>
      <c r="F377" s="5">
        <f t="shared" si="18"/>
        <v>0.38568203146959923</v>
      </c>
      <c r="G377">
        <f t="shared" si="19"/>
        <v>0</v>
      </c>
    </row>
    <row r="378" spans="4:7" x14ac:dyDescent="0.55000000000000004">
      <c r="D378">
        <v>-1.498133315180894</v>
      </c>
      <c r="E378" s="5">
        <f t="shared" si="17"/>
        <v>-0.19080601597256686</v>
      </c>
      <c r="F378" s="5">
        <f t="shared" si="18"/>
        <v>-0.3162090239588502</v>
      </c>
      <c r="G378">
        <f t="shared" si="19"/>
        <v>1</v>
      </c>
    </row>
    <row r="379" spans="4:7" x14ac:dyDescent="0.55000000000000004">
      <c r="D379">
        <v>0.34155164030380547</v>
      </c>
      <c r="E379" s="5">
        <f t="shared" si="17"/>
        <v>0.1662993545094828</v>
      </c>
      <c r="F379" s="5">
        <f t="shared" si="18"/>
        <v>0.21944903176422415</v>
      </c>
      <c r="G379">
        <f t="shared" si="19"/>
        <v>0</v>
      </c>
    </row>
    <row r="380" spans="4:7" x14ac:dyDescent="0.55000000000000004">
      <c r="D380">
        <v>0.43235104385530576</v>
      </c>
      <c r="E380" s="5">
        <f t="shared" si="17"/>
        <v>0.18392463026560524</v>
      </c>
      <c r="F380" s="5">
        <f t="shared" si="18"/>
        <v>0.24588694539840805</v>
      </c>
      <c r="G380">
        <f t="shared" si="19"/>
        <v>0</v>
      </c>
    </row>
    <row r="381" spans="4:7" x14ac:dyDescent="0.55000000000000004">
      <c r="D381">
        <v>1.1537485988810658</v>
      </c>
      <c r="E381" s="5">
        <f t="shared" si="17"/>
        <v>0.32395672673097275</v>
      </c>
      <c r="F381" s="5">
        <f t="shared" si="18"/>
        <v>0.45593509009645894</v>
      </c>
      <c r="G381">
        <f t="shared" si="19"/>
        <v>0</v>
      </c>
    </row>
    <row r="382" spans="4:7" x14ac:dyDescent="0.55000000000000004">
      <c r="D382">
        <v>-0.53921326070849318</v>
      </c>
      <c r="E382" s="5">
        <f t="shared" si="17"/>
        <v>-4.6678947175539803E-3</v>
      </c>
      <c r="F382" s="5">
        <f t="shared" si="18"/>
        <v>-3.700184207633106E-2</v>
      </c>
      <c r="G382">
        <f t="shared" si="19"/>
        <v>1</v>
      </c>
    </row>
    <row r="383" spans="4:7" x14ac:dyDescent="0.55000000000000004">
      <c r="D383">
        <v>-3.2096068025566638E-2</v>
      </c>
      <c r="E383" s="5">
        <f t="shared" si="17"/>
        <v>9.3769760290143112E-2</v>
      </c>
      <c r="F383" s="5">
        <f t="shared" si="18"/>
        <v>0.11065464043521467</v>
      </c>
      <c r="G383">
        <f t="shared" si="19"/>
        <v>0</v>
      </c>
    </row>
    <row r="384" spans="4:7" x14ac:dyDescent="0.55000000000000004">
      <c r="D384">
        <v>-0.4958303634339245</v>
      </c>
      <c r="E384" s="5">
        <f t="shared" si="17"/>
        <v>3.7532567179850568E-3</v>
      </c>
      <c r="F384" s="5">
        <f t="shared" si="18"/>
        <v>-2.4370114923022435E-2</v>
      </c>
      <c r="G384">
        <f t="shared" si="19"/>
        <v>1</v>
      </c>
    </row>
    <row r="385" spans="4:7" x14ac:dyDescent="0.55000000000000004">
      <c r="D385">
        <v>1.2471355148591101</v>
      </c>
      <c r="E385" s="5">
        <f t="shared" si="17"/>
        <v>0.34208427032428823</v>
      </c>
      <c r="F385" s="5">
        <f t="shared" si="18"/>
        <v>0.48312640548643215</v>
      </c>
      <c r="G385">
        <f t="shared" si="19"/>
        <v>0</v>
      </c>
    </row>
    <row r="386" spans="4:7" x14ac:dyDescent="0.55000000000000004">
      <c r="D386">
        <v>0.61642481341550592</v>
      </c>
      <c r="E386" s="5">
        <f t="shared" si="17"/>
        <v>0.21965560228820566</v>
      </c>
      <c r="F386" s="5">
        <f t="shared" si="18"/>
        <v>0.29948340343230839</v>
      </c>
      <c r="G386">
        <f t="shared" si="19"/>
        <v>0</v>
      </c>
    </row>
    <row r="387" spans="4:7" x14ac:dyDescent="0.55000000000000004">
      <c r="D387">
        <v>0.57098304750979878</v>
      </c>
      <c r="E387" s="5">
        <f t="shared" si="17"/>
        <v>0.21083479924758902</v>
      </c>
      <c r="F387" s="5">
        <f t="shared" si="18"/>
        <v>0.28625219887138331</v>
      </c>
      <c r="G387">
        <f t="shared" si="19"/>
        <v>0</v>
      </c>
    </row>
    <row r="388" spans="4:7" x14ac:dyDescent="0.55000000000000004">
      <c r="D388">
        <v>2.0838706404902041</v>
      </c>
      <c r="E388" s="5">
        <f t="shared" ref="E388:E451" si="20">$B$3+D388*$B$4</f>
        <v>0.50450480115648766</v>
      </c>
      <c r="F388" s="5">
        <f t="shared" ref="F388:F451" si="21">($B$2*(1+E388)-$B$5*(1+$B$6))/$B$7-1</f>
        <v>0.72675720173473168</v>
      </c>
      <c r="G388">
        <f t="shared" ref="G388:G451" si="22">IF(F388&lt;E388,1,0)</f>
        <v>0</v>
      </c>
    </row>
    <row r="389" spans="4:7" x14ac:dyDescent="0.55000000000000004">
      <c r="D389">
        <v>1.2504733604146168</v>
      </c>
      <c r="E389" s="5">
        <f t="shared" si="20"/>
        <v>0.34273218700706454</v>
      </c>
      <c r="F389" s="5">
        <f t="shared" si="21"/>
        <v>0.48409828051059667</v>
      </c>
      <c r="G389">
        <f t="shared" si="22"/>
        <v>0</v>
      </c>
    </row>
    <row r="390" spans="4:7" x14ac:dyDescent="0.55000000000000004">
      <c r="D390">
        <v>-0.19807998796750326</v>
      </c>
      <c r="E390" s="5">
        <f t="shared" si="20"/>
        <v>6.1550249526512731E-2</v>
      </c>
      <c r="F390" s="5">
        <f t="shared" si="21"/>
        <v>6.2325374289769142E-2</v>
      </c>
      <c r="G390">
        <f t="shared" si="22"/>
        <v>0</v>
      </c>
    </row>
    <row r="391" spans="4:7" x14ac:dyDescent="0.55000000000000004">
      <c r="D391">
        <v>-0.35944822229794227</v>
      </c>
      <c r="E391" s="5">
        <f t="shared" si="20"/>
        <v>3.0226699843288241E-2</v>
      </c>
      <c r="F391" s="5">
        <f t="shared" si="21"/>
        <v>1.5340049764932528E-2</v>
      </c>
      <c r="G391">
        <f t="shared" si="22"/>
        <v>1</v>
      </c>
    </row>
    <row r="392" spans="4:7" x14ac:dyDescent="0.55000000000000004">
      <c r="D392">
        <v>8.443976184935309E-2</v>
      </c>
      <c r="E392" s="5">
        <f t="shared" si="20"/>
        <v>0.11639079144977006</v>
      </c>
      <c r="F392" s="5">
        <f t="shared" si="21"/>
        <v>0.14458618717465499</v>
      </c>
      <c r="G392">
        <f t="shared" si="22"/>
        <v>0</v>
      </c>
    </row>
    <row r="393" spans="4:7" x14ac:dyDescent="0.55000000000000004">
      <c r="D393">
        <v>1.323301148659084</v>
      </c>
      <c r="E393" s="5">
        <f t="shared" si="20"/>
        <v>0.35686895223139969</v>
      </c>
      <c r="F393" s="5">
        <f t="shared" si="21"/>
        <v>0.50530342834709963</v>
      </c>
      <c r="G393">
        <f t="shared" si="22"/>
        <v>0</v>
      </c>
    </row>
    <row r="394" spans="4:7" x14ac:dyDescent="0.55000000000000004">
      <c r="D394">
        <v>-2.1023333829361945</v>
      </c>
      <c r="E394" s="5">
        <f t="shared" si="20"/>
        <v>-0.30808864547811132</v>
      </c>
      <c r="F394" s="5">
        <f t="shared" si="21"/>
        <v>-0.49213296821716701</v>
      </c>
      <c r="G394">
        <f t="shared" si="22"/>
        <v>1</v>
      </c>
    </row>
    <row r="395" spans="4:7" x14ac:dyDescent="0.55000000000000004">
      <c r="D395">
        <v>0.6437608135456685</v>
      </c>
      <c r="E395" s="5">
        <f t="shared" si="20"/>
        <v>0.22496185454888531</v>
      </c>
      <c r="F395" s="5">
        <f t="shared" si="21"/>
        <v>0.30744278182332829</v>
      </c>
      <c r="G395">
        <f t="shared" si="22"/>
        <v>0</v>
      </c>
    </row>
    <row r="396" spans="4:7" x14ac:dyDescent="0.55000000000000004">
      <c r="D396">
        <v>0.43293880480632652</v>
      </c>
      <c r="E396" s="5">
        <f t="shared" si="20"/>
        <v>0.18403872186131209</v>
      </c>
      <c r="F396" s="5">
        <f t="shared" si="21"/>
        <v>0.24605808279196828</v>
      </c>
      <c r="G396">
        <f t="shared" si="22"/>
        <v>0</v>
      </c>
    </row>
    <row r="397" spans="4:7" x14ac:dyDescent="0.55000000000000004">
      <c r="D397">
        <v>-0.4393325525597902</v>
      </c>
      <c r="E397" s="5">
        <f t="shared" si="20"/>
        <v>1.4720173430263564E-2</v>
      </c>
      <c r="F397" s="5">
        <f t="shared" si="21"/>
        <v>-7.9197398546045905E-3</v>
      </c>
      <c r="G397">
        <f t="shared" si="22"/>
        <v>1</v>
      </c>
    </row>
    <row r="398" spans="4:7" x14ac:dyDescent="0.55000000000000004">
      <c r="D398">
        <v>-0.45811475501977839</v>
      </c>
      <c r="E398" s="5">
        <f t="shared" si="20"/>
        <v>1.1074318009232628E-2</v>
      </c>
      <c r="F398" s="5">
        <f t="shared" si="21"/>
        <v>-1.3388522986151341E-2</v>
      </c>
      <c r="G398">
        <f t="shared" si="22"/>
        <v>1</v>
      </c>
    </row>
    <row r="399" spans="4:7" x14ac:dyDescent="0.55000000000000004">
      <c r="D399">
        <v>1.6596368368482217</v>
      </c>
      <c r="E399" s="5">
        <f t="shared" si="20"/>
        <v>0.42215582658401007</v>
      </c>
      <c r="F399" s="5">
        <f t="shared" si="21"/>
        <v>0.60323373987601525</v>
      </c>
      <c r="G399">
        <f t="shared" si="22"/>
        <v>0</v>
      </c>
    </row>
    <row r="400" spans="4:7" x14ac:dyDescent="0.55000000000000004">
      <c r="D400">
        <v>-1.3569115253631026</v>
      </c>
      <c r="E400" s="5">
        <f t="shared" si="20"/>
        <v>-0.16339313779325187</v>
      </c>
      <c r="F400" s="5">
        <f t="shared" si="21"/>
        <v>-0.27508970668987764</v>
      </c>
      <c r="G400">
        <f t="shared" si="22"/>
        <v>1</v>
      </c>
    </row>
    <row r="401" spans="4:7" x14ac:dyDescent="0.55000000000000004">
      <c r="D401">
        <v>0.22687572709401138</v>
      </c>
      <c r="E401" s="5">
        <f t="shared" si="20"/>
        <v>0.14403935594284697</v>
      </c>
      <c r="F401" s="5">
        <f t="shared" si="21"/>
        <v>0.18605903391427048</v>
      </c>
      <c r="G401">
        <f t="shared" si="22"/>
        <v>0</v>
      </c>
    </row>
    <row r="402" spans="4:7" x14ac:dyDescent="0.55000000000000004">
      <c r="D402">
        <v>1.5719160728622228</v>
      </c>
      <c r="E402" s="5">
        <f t="shared" si="20"/>
        <v>0.40512815245491701</v>
      </c>
      <c r="F402" s="5">
        <f t="shared" si="21"/>
        <v>0.57769222868237557</v>
      </c>
      <c r="G402">
        <f t="shared" si="22"/>
        <v>0</v>
      </c>
    </row>
    <row r="403" spans="4:7" x14ac:dyDescent="0.55000000000000004">
      <c r="D403">
        <v>-1.7580578060005791</v>
      </c>
      <c r="E403" s="5">
        <f t="shared" si="20"/>
        <v>-0.24126054152314758</v>
      </c>
      <c r="F403" s="5">
        <f t="shared" si="21"/>
        <v>-0.39189081228472133</v>
      </c>
      <c r="G403">
        <f t="shared" si="22"/>
        <v>1</v>
      </c>
    </row>
    <row r="404" spans="4:7" x14ac:dyDescent="0.55000000000000004">
      <c r="D404">
        <v>0.22459971660282463</v>
      </c>
      <c r="E404" s="5">
        <f t="shared" si="20"/>
        <v>0.14359755444457786</v>
      </c>
      <c r="F404" s="5">
        <f t="shared" si="21"/>
        <v>0.18539633166686653</v>
      </c>
      <c r="G404">
        <f t="shared" si="22"/>
        <v>0</v>
      </c>
    </row>
    <row r="405" spans="4:7" x14ac:dyDescent="0.55000000000000004">
      <c r="D405">
        <v>-2.7421629056334496</v>
      </c>
      <c r="E405" s="5">
        <f t="shared" si="20"/>
        <v>-0.43228738834816816</v>
      </c>
      <c r="F405" s="5">
        <f t="shared" si="21"/>
        <v>-0.67843108252225237</v>
      </c>
      <c r="G405">
        <f t="shared" si="22"/>
        <v>1</v>
      </c>
    </row>
    <row r="406" spans="4:7" x14ac:dyDescent="0.55000000000000004">
      <c r="D406">
        <v>-0.49513801059219986</v>
      </c>
      <c r="E406" s="5">
        <f t="shared" si="20"/>
        <v>3.8876508800459314E-3</v>
      </c>
      <c r="F406" s="5">
        <f t="shared" si="21"/>
        <v>-2.4168523679931275E-2</v>
      </c>
      <c r="G406">
        <f t="shared" si="22"/>
        <v>1</v>
      </c>
    </row>
    <row r="407" spans="4:7" x14ac:dyDescent="0.55000000000000004">
      <c r="D407">
        <v>-1.9461458578007296</v>
      </c>
      <c r="E407" s="5">
        <f t="shared" si="20"/>
        <v>-0.27777073486961823</v>
      </c>
      <c r="F407" s="5">
        <f t="shared" si="21"/>
        <v>-0.4466561023044272</v>
      </c>
      <c r="G407">
        <f t="shared" si="22"/>
        <v>1</v>
      </c>
    </row>
    <row r="408" spans="4:7" x14ac:dyDescent="0.55000000000000004">
      <c r="D408">
        <v>0.27400346880313009</v>
      </c>
      <c r="E408" s="5">
        <f t="shared" si="20"/>
        <v>0.15318742752588774</v>
      </c>
      <c r="F408" s="5">
        <f t="shared" si="21"/>
        <v>0.19978114128883173</v>
      </c>
      <c r="G408">
        <f t="shared" si="22"/>
        <v>0</v>
      </c>
    </row>
    <row r="409" spans="4:7" x14ac:dyDescent="0.55000000000000004">
      <c r="D409">
        <v>-0.66060465542250313</v>
      </c>
      <c r="E409" s="5">
        <f t="shared" si="20"/>
        <v>-2.8231450452159634E-2</v>
      </c>
      <c r="F409" s="5">
        <f t="shared" si="21"/>
        <v>-7.2347175678239561E-2</v>
      </c>
      <c r="G409">
        <f t="shared" si="22"/>
        <v>1</v>
      </c>
    </row>
    <row r="410" spans="4:7" x14ac:dyDescent="0.55000000000000004">
      <c r="D410">
        <v>1.2683949535130523</v>
      </c>
      <c r="E410" s="5">
        <f t="shared" si="20"/>
        <v>0.34621098761581293</v>
      </c>
      <c r="F410" s="5">
        <f t="shared" si="21"/>
        <v>0.4893164814237192</v>
      </c>
      <c r="G410">
        <f t="shared" si="22"/>
        <v>0</v>
      </c>
    </row>
    <row r="411" spans="4:7" x14ac:dyDescent="0.55000000000000004">
      <c r="D411">
        <v>-0.15998807612049859</v>
      </c>
      <c r="E411" s="5">
        <f t="shared" si="20"/>
        <v>6.8944355920620981E-2</v>
      </c>
      <c r="F411" s="5">
        <f t="shared" si="21"/>
        <v>7.3416533880931611E-2</v>
      </c>
      <c r="G411">
        <f t="shared" si="22"/>
        <v>0</v>
      </c>
    </row>
    <row r="412" spans="4:7" x14ac:dyDescent="0.55000000000000004">
      <c r="D412">
        <v>-0.62560957303503528</v>
      </c>
      <c r="E412" s="5">
        <f t="shared" si="20"/>
        <v>-2.1438476566185777E-2</v>
      </c>
      <c r="F412" s="5">
        <f t="shared" si="21"/>
        <v>-6.2157714849278678E-2</v>
      </c>
      <c r="G412">
        <f t="shared" si="22"/>
        <v>1</v>
      </c>
    </row>
    <row r="413" spans="4:7" x14ac:dyDescent="0.55000000000000004">
      <c r="D413">
        <v>-0.28601789381355047</v>
      </c>
      <c r="E413" s="5">
        <f t="shared" si="20"/>
        <v>4.4480425504228135E-2</v>
      </c>
      <c r="F413" s="5">
        <f t="shared" si="21"/>
        <v>3.6720638256342086E-2</v>
      </c>
      <c r="G413">
        <f t="shared" si="22"/>
        <v>1</v>
      </c>
    </row>
    <row r="414" spans="4:7" x14ac:dyDescent="0.55000000000000004">
      <c r="D414">
        <v>1.0496205504750833</v>
      </c>
      <c r="E414" s="5">
        <f t="shared" si="20"/>
        <v>0.30374419784512652</v>
      </c>
      <c r="F414" s="5">
        <f t="shared" si="21"/>
        <v>0.42561629676768975</v>
      </c>
      <c r="G414">
        <f t="shared" si="22"/>
        <v>0</v>
      </c>
    </row>
    <row r="415" spans="4:7" x14ac:dyDescent="0.55000000000000004">
      <c r="D415">
        <v>-3.6459368857322261E-2</v>
      </c>
      <c r="E415" s="5">
        <f t="shared" si="20"/>
        <v>9.292279018506977E-2</v>
      </c>
      <c r="F415" s="5">
        <f t="shared" si="21"/>
        <v>0.10938418527760474</v>
      </c>
      <c r="G415">
        <f t="shared" si="22"/>
        <v>0</v>
      </c>
    </row>
    <row r="416" spans="4:7" x14ac:dyDescent="0.55000000000000004">
      <c r="D416">
        <v>-0.15696741684223525</v>
      </c>
      <c r="E416" s="5">
        <f t="shared" si="20"/>
        <v>6.9530702864127991E-2</v>
      </c>
      <c r="F416" s="5">
        <f t="shared" si="21"/>
        <v>7.4296054296192127E-2</v>
      </c>
      <c r="G416">
        <f t="shared" si="22"/>
        <v>0</v>
      </c>
    </row>
    <row r="417" spans="4:7" x14ac:dyDescent="0.55000000000000004">
      <c r="D417">
        <v>0.58854084272752516</v>
      </c>
      <c r="E417" s="5">
        <f t="shared" si="20"/>
        <v>0.21424298223423643</v>
      </c>
      <c r="F417" s="5">
        <f t="shared" si="21"/>
        <v>0.29136447335135451</v>
      </c>
      <c r="G417">
        <f t="shared" si="22"/>
        <v>0</v>
      </c>
    </row>
    <row r="418" spans="4:7" x14ac:dyDescent="0.55000000000000004">
      <c r="D418">
        <v>1.1733163773897104</v>
      </c>
      <c r="E418" s="5">
        <f t="shared" si="20"/>
        <v>0.32775507207972798</v>
      </c>
      <c r="F418" s="5">
        <f t="shared" si="21"/>
        <v>0.46163260811959184</v>
      </c>
      <c r="G418">
        <f t="shared" si="22"/>
        <v>0</v>
      </c>
    </row>
    <row r="419" spans="4:7" x14ac:dyDescent="0.55000000000000004">
      <c r="D419">
        <v>0.19012873053725343</v>
      </c>
      <c r="E419" s="5">
        <f t="shared" si="20"/>
        <v>0.13690631407044318</v>
      </c>
      <c r="F419" s="5">
        <f t="shared" si="21"/>
        <v>0.17535947110566474</v>
      </c>
      <c r="G419">
        <f t="shared" si="22"/>
        <v>0</v>
      </c>
    </row>
    <row r="420" spans="4:7" x14ac:dyDescent="0.55000000000000004">
      <c r="D420">
        <v>1.1713382264133543</v>
      </c>
      <c r="E420" s="5">
        <f t="shared" si="20"/>
        <v>0.32737108875955401</v>
      </c>
      <c r="F420" s="5">
        <f t="shared" si="21"/>
        <v>0.4610566331393311</v>
      </c>
      <c r="G420">
        <f t="shared" si="22"/>
        <v>0</v>
      </c>
    </row>
    <row r="421" spans="4:7" x14ac:dyDescent="0.55000000000000004">
      <c r="D421">
        <v>0.2545948518672958</v>
      </c>
      <c r="E421" s="5">
        <f t="shared" si="20"/>
        <v>0.14941997738680171</v>
      </c>
      <c r="F421" s="5">
        <f t="shared" si="21"/>
        <v>0.1941299660802025</v>
      </c>
      <c r="G421">
        <f t="shared" si="22"/>
        <v>0</v>
      </c>
    </row>
    <row r="422" spans="4:7" x14ac:dyDescent="0.55000000000000004">
      <c r="D422">
        <v>0.30543787943315692</v>
      </c>
      <c r="E422" s="5">
        <f t="shared" si="20"/>
        <v>0.15928923143554849</v>
      </c>
      <c r="F422" s="5">
        <f t="shared" si="21"/>
        <v>0.20893384715332286</v>
      </c>
      <c r="G422">
        <f t="shared" si="22"/>
        <v>0</v>
      </c>
    </row>
    <row r="423" spans="4:7" x14ac:dyDescent="0.55000000000000004">
      <c r="D423">
        <v>-0.62050048654782586</v>
      </c>
      <c r="E423" s="5">
        <f t="shared" si="20"/>
        <v>-2.0446740335805472E-2</v>
      </c>
      <c r="F423" s="5">
        <f t="shared" si="21"/>
        <v>-6.0670110503708186E-2</v>
      </c>
      <c r="G423">
        <f t="shared" si="22"/>
        <v>1</v>
      </c>
    </row>
    <row r="424" spans="4:7" x14ac:dyDescent="0.55000000000000004">
      <c r="D424">
        <v>1.5617342796758749</v>
      </c>
      <c r="E424" s="5">
        <f t="shared" si="20"/>
        <v>0.40315174175636648</v>
      </c>
      <c r="F424" s="5">
        <f t="shared" si="21"/>
        <v>0.57472761263454952</v>
      </c>
      <c r="G424">
        <f t="shared" si="22"/>
        <v>0</v>
      </c>
    </row>
    <row r="425" spans="4:7" x14ac:dyDescent="0.55000000000000004">
      <c r="D425">
        <v>-0.32763637136667967</v>
      </c>
      <c r="E425" s="5">
        <f t="shared" si="20"/>
        <v>3.6401769535878745E-2</v>
      </c>
      <c r="F425" s="5">
        <f t="shared" si="21"/>
        <v>2.4602654303818028E-2</v>
      </c>
      <c r="G425">
        <f t="shared" si="22"/>
        <v>1</v>
      </c>
    </row>
    <row r="426" spans="4:7" x14ac:dyDescent="0.55000000000000004">
      <c r="D426">
        <v>-0.43503973756742198</v>
      </c>
      <c r="E426" s="5">
        <f t="shared" si="20"/>
        <v>1.5553461371054844E-2</v>
      </c>
      <c r="F426" s="5">
        <f t="shared" si="21"/>
        <v>-6.6698079434177604E-3</v>
      </c>
      <c r="G426">
        <f t="shared" si="22"/>
        <v>1</v>
      </c>
    </row>
    <row r="427" spans="4:7" x14ac:dyDescent="0.55000000000000004">
      <c r="D427">
        <v>-0.30864498512528371</v>
      </c>
      <c r="E427" s="5">
        <f t="shared" si="20"/>
        <v>4.0088230089617725E-2</v>
      </c>
      <c r="F427" s="5">
        <f t="shared" si="21"/>
        <v>3.0132345134426641E-2</v>
      </c>
      <c r="G427">
        <f t="shared" si="22"/>
        <v>1</v>
      </c>
    </row>
    <row r="428" spans="4:7" x14ac:dyDescent="0.55000000000000004">
      <c r="D428">
        <v>1.2815007721656002</v>
      </c>
      <c r="E428" s="5">
        <f t="shared" si="20"/>
        <v>0.34875498745199984</v>
      </c>
      <c r="F428" s="5">
        <f t="shared" si="21"/>
        <v>0.49313248117799957</v>
      </c>
      <c r="G428">
        <f t="shared" si="22"/>
        <v>0</v>
      </c>
    </row>
    <row r="429" spans="4:7" x14ac:dyDescent="0.55000000000000004">
      <c r="D429">
        <v>3.8296548154903576E-2</v>
      </c>
      <c r="E429" s="5">
        <f t="shared" si="20"/>
        <v>0.10743382880654002</v>
      </c>
      <c r="F429" s="5">
        <f t="shared" si="21"/>
        <v>0.13115074320981002</v>
      </c>
      <c r="G429">
        <f t="shared" si="22"/>
        <v>0</v>
      </c>
    </row>
    <row r="430" spans="4:7" x14ac:dyDescent="0.55000000000000004">
      <c r="D430">
        <v>-1.0978124009852763</v>
      </c>
      <c r="E430" s="5">
        <f t="shared" si="20"/>
        <v>-0.11309882597281265</v>
      </c>
      <c r="F430" s="5">
        <f t="shared" si="21"/>
        <v>-0.1996482389592189</v>
      </c>
      <c r="G430">
        <f t="shared" si="22"/>
        <v>1</v>
      </c>
    </row>
    <row r="431" spans="4:7" x14ac:dyDescent="0.55000000000000004">
      <c r="D431">
        <v>-0.3508114332362311</v>
      </c>
      <c r="E431" s="5">
        <f t="shared" si="20"/>
        <v>3.1903206327978759E-2</v>
      </c>
      <c r="F431" s="5">
        <f t="shared" si="21"/>
        <v>1.785480949196816E-2</v>
      </c>
      <c r="G431">
        <f t="shared" si="22"/>
        <v>1</v>
      </c>
    </row>
    <row r="432" spans="4:7" x14ac:dyDescent="0.55000000000000004">
      <c r="D432">
        <v>-0.13716999092139304</v>
      </c>
      <c r="E432" s="5">
        <f t="shared" si="20"/>
        <v>7.3373625586834412E-2</v>
      </c>
      <c r="F432" s="5">
        <f t="shared" si="21"/>
        <v>8.0060438380251675E-2</v>
      </c>
      <c r="G432">
        <f t="shared" si="22"/>
        <v>0</v>
      </c>
    </row>
    <row r="433" spans="4:7" x14ac:dyDescent="0.55000000000000004">
      <c r="D433">
        <v>-0.47500293476332445</v>
      </c>
      <c r="E433" s="5">
        <f t="shared" si="20"/>
        <v>7.7961155832648038E-3</v>
      </c>
      <c r="F433" s="5">
        <f t="shared" si="21"/>
        <v>-1.8305826625102606E-2</v>
      </c>
      <c r="G433">
        <f t="shared" si="22"/>
        <v>1</v>
      </c>
    </row>
    <row r="434" spans="4:7" x14ac:dyDescent="0.55000000000000004">
      <c r="D434">
        <v>0.30375531423487701</v>
      </c>
      <c r="E434" s="5">
        <f t="shared" si="20"/>
        <v>0.15896262493333158</v>
      </c>
      <c r="F434" s="5">
        <f t="shared" si="21"/>
        <v>0.20844393739999734</v>
      </c>
      <c r="G434">
        <f t="shared" si="22"/>
        <v>0</v>
      </c>
    </row>
    <row r="435" spans="4:7" x14ac:dyDescent="0.55000000000000004">
      <c r="D435">
        <v>0.330867351294728</v>
      </c>
      <c r="E435" s="5">
        <f t="shared" si="20"/>
        <v>0.16422540322040535</v>
      </c>
      <c r="F435" s="5">
        <f t="shared" si="21"/>
        <v>0.21633810483060811</v>
      </c>
      <c r="G435">
        <f t="shared" si="22"/>
        <v>0</v>
      </c>
    </row>
    <row r="436" spans="4:7" x14ac:dyDescent="0.55000000000000004">
      <c r="D436">
        <v>-0.40653844735061284</v>
      </c>
      <c r="E436" s="5">
        <f t="shared" si="20"/>
        <v>2.1085910702526647E-2</v>
      </c>
      <c r="F436" s="5">
        <f t="shared" si="21"/>
        <v>1.6288660537899791E-3</v>
      </c>
      <c r="G436">
        <f t="shared" si="22"/>
        <v>1</v>
      </c>
    </row>
    <row r="437" spans="4:7" x14ac:dyDescent="0.55000000000000004">
      <c r="D437">
        <v>3.1816307455301285</v>
      </c>
      <c r="E437" s="5">
        <f t="shared" si="20"/>
        <v>0.71759347584612332</v>
      </c>
      <c r="F437" s="5">
        <f t="shared" si="21"/>
        <v>1.0463902137691852</v>
      </c>
      <c r="G437">
        <f t="shared" si="22"/>
        <v>0</v>
      </c>
    </row>
    <row r="438" spans="4:7" x14ac:dyDescent="0.55000000000000004">
      <c r="D438">
        <v>-1.4834904504823498</v>
      </c>
      <c r="E438" s="5">
        <f t="shared" si="20"/>
        <v>-0.18796365668300336</v>
      </c>
      <c r="F438" s="5">
        <f t="shared" si="21"/>
        <v>-0.31194548502450503</v>
      </c>
      <c r="G438">
        <f t="shared" si="22"/>
        <v>1</v>
      </c>
    </row>
    <row r="439" spans="4:7" x14ac:dyDescent="0.55000000000000004">
      <c r="D439">
        <v>1.7616548575460911</v>
      </c>
      <c r="E439" s="5">
        <f t="shared" si="20"/>
        <v>0.44195877326167077</v>
      </c>
      <c r="F439" s="5">
        <f t="shared" si="21"/>
        <v>0.63293815989250612</v>
      </c>
      <c r="G439">
        <f t="shared" si="22"/>
        <v>0</v>
      </c>
    </row>
    <row r="440" spans="4:7" x14ac:dyDescent="0.55000000000000004">
      <c r="D440">
        <v>0.87550688476767391</v>
      </c>
      <c r="E440" s="5">
        <f t="shared" si="20"/>
        <v>0.26994660390760888</v>
      </c>
      <c r="F440" s="5">
        <f t="shared" si="21"/>
        <v>0.37491990586141322</v>
      </c>
      <c r="G440">
        <f t="shared" si="22"/>
        <v>0</v>
      </c>
    </row>
    <row r="441" spans="4:7" x14ac:dyDescent="0.55000000000000004">
      <c r="D441">
        <v>0.54897100199013948</v>
      </c>
      <c r="E441" s="5">
        <f t="shared" si="20"/>
        <v>0.20656199175034301</v>
      </c>
      <c r="F441" s="5">
        <f t="shared" si="21"/>
        <v>0.27984298762551441</v>
      </c>
      <c r="G441">
        <f t="shared" si="22"/>
        <v>0</v>
      </c>
    </row>
    <row r="442" spans="4:7" x14ac:dyDescent="0.55000000000000004">
      <c r="D442">
        <v>-1.1417751011322252</v>
      </c>
      <c r="E442" s="5">
        <f t="shared" si="20"/>
        <v>-0.1216325242435751</v>
      </c>
      <c r="F442" s="5">
        <f t="shared" si="21"/>
        <v>-0.21244878636536269</v>
      </c>
      <c r="G442">
        <f t="shared" si="22"/>
        <v>1</v>
      </c>
    </row>
    <row r="443" spans="4:7" x14ac:dyDescent="0.55000000000000004">
      <c r="D443">
        <v>0.46321815716510173</v>
      </c>
      <c r="E443" s="5">
        <f t="shared" si="20"/>
        <v>0.18991631482080229</v>
      </c>
      <c r="F443" s="5">
        <f t="shared" si="21"/>
        <v>0.2548744722312033</v>
      </c>
      <c r="G443">
        <f t="shared" si="22"/>
        <v>0</v>
      </c>
    </row>
    <row r="444" spans="4:7" x14ac:dyDescent="0.55000000000000004">
      <c r="D444">
        <v>0.36541109693644103</v>
      </c>
      <c r="E444" s="5">
        <f t="shared" si="20"/>
        <v>0.17093076711896021</v>
      </c>
      <c r="F444" s="5">
        <f t="shared" si="21"/>
        <v>0.22639615067844021</v>
      </c>
      <c r="G444">
        <f t="shared" si="22"/>
        <v>0</v>
      </c>
    </row>
    <row r="445" spans="4:7" x14ac:dyDescent="0.55000000000000004">
      <c r="D445">
        <v>-0.59081685321871191</v>
      </c>
      <c r="E445" s="5">
        <f t="shared" si="20"/>
        <v>-1.4684783732505577E-2</v>
      </c>
      <c r="F445" s="5">
        <f t="shared" si="21"/>
        <v>-5.2027175598758357E-2</v>
      </c>
      <c r="G445">
        <f t="shared" si="22"/>
        <v>1</v>
      </c>
    </row>
    <row r="446" spans="4:7" x14ac:dyDescent="0.55000000000000004">
      <c r="D446">
        <v>-1.0886355994443875</v>
      </c>
      <c r="E446" s="5">
        <f t="shared" si="20"/>
        <v>-0.11131749645531602</v>
      </c>
      <c r="F446" s="5">
        <f t="shared" si="21"/>
        <v>-0.19697624468297414</v>
      </c>
      <c r="G446">
        <f t="shared" si="22"/>
        <v>1</v>
      </c>
    </row>
    <row r="447" spans="4:7" x14ac:dyDescent="0.55000000000000004">
      <c r="D447">
        <v>0.57964939514931757</v>
      </c>
      <c r="E447" s="5">
        <f t="shared" si="20"/>
        <v>0.21251704341407524</v>
      </c>
      <c r="F447" s="5">
        <f t="shared" si="21"/>
        <v>0.28877556512111302</v>
      </c>
      <c r="G447">
        <f t="shared" si="22"/>
        <v>0</v>
      </c>
    </row>
    <row r="448" spans="4:7" x14ac:dyDescent="0.55000000000000004">
      <c r="D448">
        <v>0.28354747882985976</v>
      </c>
      <c r="E448" s="5">
        <f t="shared" si="20"/>
        <v>0.1550400367056925</v>
      </c>
      <c r="F448" s="5">
        <f t="shared" si="21"/>
        <v>0.20256005505853891</v>
      </c>
      <c r="G448">
        <f t="shared" si="22"/>
        <v>0</v>
      </c>
    </row>
    <row r="449" spans="4:7" x14ac:dyDescent="0.55000000000000004">
      <c r="D449">
        <v>-1.0148232831852511</v>
      </c>
      <c r="E449" s="5">
        <f t="shared" si="20"/>
        <v>-9.6989622291170141E-2</v>
      </c>
      <c r="F449" s="5">
        <f t="shared" si="21"/>
        <v>-0.17548443343675513</v>
      </c>
      <c r="G449">
        <f t="shared" si="22"/>
        <v>1</v>
      </c>
    </row>
    <row r="450" spans="4:7" x14ac:dyDescent="0.55000000000000004">
      <c r="D450">
        <v>2.0628704078262672</v>
      </c>
      <c r="E450" s="5">
        <f t="shared" si="20"/>
        <v>0.50042839892071012</v>
      </c>
      <c r="F450" s="5">
        <f t="shared" si="21"/>
        <v>0.72064259838106515</v>
      </c>
      <c r="G450">
        <f t="shared" si="22"/>
        <v>0</v>
      </c>
    </row>
    <row r="451" spans="4:7" x14ac:dyDescent="0.55000000000000004">
      <c r="D451">
        <v>-0.59729586610046681</v>
      </c>
      <c r="E451" s="5">
        <f t="shared" si="20"/>
        <v>-1.5942439446109791E-2</v>
      </c>
      <c r="F451" s="5">
        <f t="shared" si="21"/>
        <v>-5.3913659169164796E-2</v>
      </c>
      <c r="G451">
        <f t="shared" si="22"/>
        <v>1</v>
      </c>
    </row>
    <row r="452" spans="4:7" x14ac:dyDescent="0.55000000000000004">
      <c r="D452">
        <v>-0.97676775112631731</v>
      </c>
      <c r="E452" s="5">
        <f t="shared" ref="E452:E515" si="23">$B$3+D452*$B$4</f>
        <v>-8.9602577659271987E-2</v>
      </c>
      <c r="F452" s="5">
        <f t="shared" ref="F452:F515" si="24">($B$2*(1+E452)-$B$5*(1+$B$6))/$B$7-1</f>
        <v>-0.16440386648890781</v>
      </c>
      <c r="G452">
        <f t="shared" ref="G452:G515" si="25">IF(F452&lt;E452,1,0)</f>
        <v>1</v>
      </c>
    </row>
    <row r="453" spans="4:7" x14ac:dyDescent="0.55000000000000004">
      <c r="D453">
        <v>-0.20112338461331092</v>
      </c>
      <c r="E453" s="5">
        <f t="shared" si="23"/>
        <v>6.095948898162442E-2</v>
      </c>
      <c r="F453" s="5">
        <f t="shared" si="24"/>
        <v>6.1439233472436738E-2</v>
      </c>
      <c r="G453">
        <f t="shared" si="25"/>
        <v>0</v>
      </c>
    </row>
    <row r="454" spans="4:7" x14ac:dyDescent="0.55000000000000004">
      <c r="D454">
        <v>0.38783127820352092</v>
      </c>
      <c r="E454" s="5">
        <f t="shared" si="23"/>
        <v>0.1752827987610007</v>
      </c>
      <c r="F454" s="5">
        <f t="shared" si="24"/>
        <v>0.23292419814150089</v>
      </c>
      <c r="G454">
        <f t="shared" si="25"/>
        <v>0</v>
      </c>
    </row>
    <row r="455" spans="4:7" x14ac:dyDescent="0.55000000000000004">
      <c r="D455">
        <v>-1.0093344826600514</v>
      </c>
      <c r="E455" s="5">
        <f t="shared" si="23"/>
        <v>-9.5924178917721953E-2</v>
      </c>
      <c r="F455" s="5">
        <f t="shared" si="24"/>
        <v>-0.17388626837658305</v>
      </c>
      <c r="G455">
        <f t="shared" si="25"/>
        <v>1</v>
      </c>
    </row>
    <row r="456" spans="4:7" x14ac:dyDescent="0.55000000000000004">
      <c r="D456">
        <v>1.8683840607991442</v>
      </c>
      <c r="E456" s="5">
        <f t="shared" si="23"/>
        <v>0.46267621814553878</v>
      </c>
      <c r="F456" s="5">
        <f t="shared" si="24"/>
        <v>0.66401432721830833</v>
      </c>
      <c r="G456">
        <f t="shared" si="25"/>
        <v>0</v>
      </c>
    </row>
    <row r="457" spans="4:7" x14ac:dyDescent="0.55000000000000004">
      <c r="D457">
        <v>-0.58472437558521051</v>
      </c>
      <c r="E457" s="5">
        <f t="shared" si="23"/>
        <v>-1.3502159242383613E-2</v>
      </c>
      <c r="F457" s="5">
        <f t="shared" si="24"/>
        <v>-5.0253238863575467E-2</v>
      </c>
      <c r="G457">
        <f t="shared" si="25"/>
        <v>1</v>
      </c>
    </row>
    <row r="458" spans="4:7" x14ac:dyDescent="0.55000000000000004">
      <c r="D458">
        <v>-0.26369320949015673</v>
      </c>
      <c r="E458" s="5">
        <f t="shared" si="23"/>
        <v>4.8813920020467132E-2</v>
      </c>
      <c r="F458" s="5">
        <f t="shared" si="24"/>
        <v>4.3220880030700792E-2</v>
      </c>
      <c r="G458">
        <f t="shared" si="25"/>
        <v>1</v>
      </c>
    </row>
    <row r="459" spans="4:7" x14ac:dyDescent="0.55000000000000004">
      <c r="D459">
        <v>6.6564780354383402E-2</v>
      </c>
      <c r="E459" s="5">
        <f t="shared" si="23"/>
        <v>0.1129210387238534</v>
      </c>
      <c r="F459" s="5">
        <f t="shared" si="24"/>
        <v>0.13938155808578023</v>
      </c>
      <c r="G459">
        <f t="shared" si="25"/>
        <v>0</v>
      </c>
    </row>
    <row r="460" spans="4:7" x14ac:dyDescent="0.55000000000000004">
      <c r="D460">
        <v>-0.45124352254788391</v>
      </c>
      <c r="E460" s="5">
        <f t="shared" si="23"/>
        <v>1.2408108346664448E-2</v>
      </c>
      <c r="F460" s="5">
        <f t="shared" si="24"/>
        <v>-1.1387837480003382E-2</v>
      </c>
      <c r="G460">
        <f t="shared" si="25"/>
        <v>1</v>
      </c>
    </row>
    <row r="461" spans="4:7" x14ac:dyDescent="0.55000000000000004">
      <c r="D461">
        <v>1.7280035535804927</v>
      </c>
      <c r="E461" s="5">
        <f t="shared" si="23"/>
        <v>0.43542664321733227</v>
      </c>
      <c r="F461" s="5">
        <f t="shared" si="24"/>
        <v>0.62313996482599876</v>
      </c>
      <c r="G461">
        <f t="shared" si="25"/>
        <v>0</v>
      </c>
    </row>
    <row r="462" spans="4:7" x14ac:dyDescent="0.55000000000000004">
      <c r="D462">
        <v>0.41869952838169411</v>
      </c>
      <c r="E462" s="5">
        <f t="shared" si="23"/>
        <v>0.18127470399626683</v>
      </c>
      <c r="F462" s="5">
        <f t="shared" si="24"/>
        <v>0.24191205599439991</v>
      </c>
      <c r="G462">
        <f t="shared" si="25"/>
        <v>0</v>
      </c>
    </row>
    <row r="463" spans="4:7" x14ac:dyDescent="0.55000000000000004">
      <c r="D463">
        <v>-0.93437847681343555</v>
      </c>
      <c r="E463" s="5">
        <f t="shared" si="23"/>
        <v>-8.1374300604096172E-2</v>
      </c>
      <c r="F463" s="5">
        <f t="shared" si="24"/>
        <v>-0.15206145090614409</v>
      </c>
      <c r="G463">
        <f t="shared" si="25"/>
        <v>1</v>
      </c>
    </row>
    <row r="464" spans="4:7" x14ac:dyDescent="0.55000000000000004">
      <c r="D464">
        <v>2.0122752175666392</v>
      </c>
      <c r="E464" s="5">
        <f t="shared" si="23"/>
        <v>0.49060725312701953</v>
      </c>
      <c r="F464" s="5">
        <f t="shared" si="24"/>
        <v>0.70591087969052935</v>
      </c>
      <c r="G464">
        <f t="shared" si="25"/>
        <v>0</v>
      </c>
    </row>
    <row r="465" spans="4:7" x14ac:dyDescent="0.55000000000000004">
      <c r="D465">
        <v>-0.27678538572217803</v>
      </c>
      <c r="E465" s="5">
        <f t="shared" si="23"/>
        <v>4.6272568345108969E-2</v>
      </c>
      <c r="F465" s="5">
        <f t="shared" si="24"/>
        <v>3.9408852517663684E-2</v>
      </c>
      <c r="G465">
        <f t="shared" si="25"/>
        <v>1</v>
      </c>
    </row>
    <row r="466" spans="4:7" x14ac:dyDescent="0.55000000000000004">
      <c r="D466">
        <v>0.38923303691262845</v>
      </c>
      <c r="E466" s="5">
        <f t="shared" si="23"/>
        <v>0.17555489728615845</v>
      </c>
      <c r="F466" s="5">
        <f t="shared" si="24"/>
        <v>0.23333234592923757</v>
      </c>
      <c r="G466">
        <f t="shared" si="25"/>
        <v>0</v>
      </c>
    </row>
    <row r="467" spans="4:7" x14ac:dyDescent="0.55000000000000004">
      <c r="D467">
        <v>2.0099651010241359</v>
      </c>
      <c r="E467" s="5">
        <f t="shared" si="23"/>
        <v>0.49015883122667847</v>
      </c>
      <c r="F467" s="5">
        <f t="shared" si="24"/>
        <v>0.70523824684001779</v>
      </c>
      <c r="G467">
        <f t="shared" si="25"/>
        <v>0</v>
      </c>
    </row>
    <row r="468" spans="4:7" x14ac:dyDescent="0.55000000000000004">
      <c r="D468">
        <v>-0.37220729609543923</v>
      </c>
      <c r="E468" s="5">
        <f t="shared" si="23"/>
        <v>2.775000742816626E-2</v>
      </c>
      <c r="F468" s="5">
        <f t="shared" si="24"/>
        <v>1.1625011142249342E-2</v>
      </c>
      <c r="G468">
        <f t="shared" si="25"/>
        <v>1</v>
      </c>
    </row>
    <row r="469" spans="4:7" x14ac:dyDescent="0.55000000000000004">
      <c r="D469">
        <v>0.29927150535513647</v>
      </c>
      <c r="E469" s="5">
        <f t="shared" si="23"/>
        <v>0.15809226274093729</v>
      </c>
      <c r="F469" s="5">
        <f t="shared" si="24"/>
        <v>0.20713839411140622</v>
      </c>
      <c r="G469">
        <f t="shared" si="25"/>
        <v>0</v>
      </c>
    </row>
    <row r="470" spans="4:7" x14ac:dyDescent="0.55000000000000004">
      <c r="D470">
        <v>0.70611349656246603</v>
      </c>
      <c r="E470" s="5">
        <f t="shared" si="23"/>
        <v>0.23706527361685109</v>
      </c>
      <c r="F470" s="5">
        <f t="shared" si="24"/>
        <v>0.32559791042527642</v>
      </c>
      <c r="G470">
        <f t="shared" si="25"/>
        <v>0</v>
      </c>
    </row>
    <row r="471" spans="4:7" x14ac:dyDescent="0.55000000000000004">
      <c r="D471">
        <v>0.53294229473976884</v>
      </c>
      <c r="E471" s="5">
        <f t="shared" si="23"/>
        <v>0.20345062345658871</v>
      </c>
      <c r="F471" s="5">
        <f t="shared" si="24"/>
        <v>0.27517593518488326</v>
      </c>
      <c r="G471">
        <f t="shared" si="25"/>
        <v>0</v>
      </c>
    </row>
    <row r="472" spans="4:7" x14ac:dyDescent="0.55000000000000004">
      <c r="D472">
        <v>0.77021013566991314</v>
      </c>
      <c r="E472" s="5">
        <f t="shared" si="23"/>
        <v>0.24950721591076333</v>
      </c>
      <c r="F472" s="5">
        <f t="shared" si="24"/>
        <v>0.34426082386614509</v>
      </c>
      <c r="G472">
        <f t="shared" si="25"/>
        <v>0</v>
      </c>
    </row>
    <row r="473" spans="4:7" x14ac:dyDescent="0.55000000000000004">
      <c r="D473">
        <v>-0.55904820328578353</v>
      </c>
      <c r="E473" s="5">
        <f t="shared" si="23"/>
        <v>-8.5180998825395565E-3</v>
      </c>
      <c r="F473" s="5">
        <f t="shared" si="24"/>
        <v>-4.2777149823809535E-2</v>
      </c>
      <c r="G473">
        <f t="shared" si="25"/>
        <v>1</v>
      </c>
    </row>
    <row r="474" spans="4:7" x14ac:dyDescent="0.55000000000000004">
      <c r="D474">
        <v>0.48006086217355914</v>
      </c>
      <c r="E474" s="5">
        <f t="shared" si="23"/>
        <v>0.19318569004400751</v>
      </c>
      <c r="F474" s="5">
        <f t="shared" si="24"/>
        <v>0.25977853506601134</v>
      </c>
      <c r="G474">
        <f t="shared" si="25"/>
        <v>0</v>
      </c>
    </row>
    <row r="475" spans="4:7" x14ac:dyDescent="0.55000000000000004">
      <c r="D475">
        <v>0.91421043180162087</v>
      </c>
      <c r="E475" s="5">
        <f t="shared" si="23"/>
        <v>0.27745943617887436</v>
      </c>
      <c r="F475" s="5">
        <f t="shared" si="24"/>
        <v>0.38618915426831157</v>
      </c>
      <c r="G475">
        <f t="shared" si="25"/>
        <v>0</v>
      </c>
    </row>
    <row r="476" spans="4:7" x14ac:dyDescent="0.55000000000000004">
      <c r="D476">
        <v>0.43167801777599379</v>
      </c>
      <c r="E476" s="5">
        <f t="shared" si="23"/>
        <v>0.18379398766471844</v>
      </c>
      <c r="F476" s="5">
        <f t="shared" si="24"/>
        <v>0.2456909814970778</v>
      </c>
      <c r="G476">
        <f t="shared" si="25"/>
        <v>0</v>
      </c>
    </row>
    <row r="477" spans="4:7" x14ac:dyDescent="0.55000000000000004">
      <c r="D477">
        <v>-0.8882602742232848</v>
      </c>
      <c r="E477" s="5">
        <f t="shared" si="23"/>
        <v>-7.2422192922385581E-2</v>
      </c>
      <c r="F477" s="5">
        <f t="shared" si="24"/>
        <v>-0.13863328938357844</v>
      </c>
      <c r="G477">
        <f t="shared" si="25"/>
        <v>1</v>
      </c>
    </row>
    <row r="478" spans="4:7" x14ac:dyDescent="0.55000000000000004">
      <c r="D478">
        <v>-6.35748165223049E-2</v>
      </c>
      <c r="E478" s="5">
        <f t="shared" si="23"/>
        <v>8.7659349857788796E-2</v>
      </c>
      <c r="F478" s="5">
        <f t="shared" si="24"/>
        <v>0.10148902478668331</v>
      </c>
      <c r="G478">
        <f t="shared" si="25"/>
        <v>0</v>
      </c>
    </row>
    <row r="479" spans="4:7" x14ac:dyDescent="0.55000000000000004">
      <c r="D479">
        <v>-8.9892182586481795E-2</v>
      </c>
      <c r="E479" s="5">
        <f t="shared" si="23"/>
        <v>8.2550826938991809E-2</v>
      </c>
      <c r="F479" s="5">
        <f t="shared" si="24"/>
        <v>9.3826240408487971E-2</v>
      </c>
      <c r="G479">
        <f t="shared" si="25"/>
        <v>0</v>
      </c>
    </row>
    <row r="480" spans="4:7" x14ac:dyDescent="0.55000000000000004">
      <c r="D480">
        <v>-0.66794882513931952</v>
      </c>
      <c r="E480" s="5">
        <f t="shared" si="23"/>
        <v>-2.9657043698322699E-2</v>
      </c>
      <c r="F480" s="5">
        <f t="shared" si="24"/>
        <v>-7.4485565547483978E-2</v>
      </c>
      <c r="G480">
        <f t="shared" si="25"/>
        <v>1</v>
      </c>
    </row>
    <row r="481" spans="4:7" x14ac:dyDescent="0.55000000000000004">
      <c r="D481">
        <v>-0.90449248091317713</v>
      </c>
      <c r="E481" s="5">
        <f t="shared" si="23"/>
        <v>-7.5573062948502606E-2</v>
      </c>
      <c r="F481" s="5">
        <f t="shared" si="24"/>
        <v>-0.14335959442275403</v>
      </c>
      <c r="G481">
        <f t="shared" si="25"/>
        <v>1</v>
      </c>
    </row>
    <row r="482" spans="4:7" x14ac:dyDescent="0.55000000000000004">
      <c r="D482">
        <v>-0.48169340516324155</v>
      </c>
      <c r="E482" s="5">
        <f t="shared" si="23"/>
        <v>6.4974133768144066E-3</v>
      </c>
      <c r="F482" s="5">
        <f t="shared" si="24"/>
        <v>-2.0253879934778563E-2</v>
      </c>
      <c r="G482">
        <f t="shared" si="25"/>
        <v>1</v>
      </c>
    </row>
    <row r="483" spans="4:7" x14ac:dyDescent="0.55000000000000004">
      <c r="D483">
        <v>-0.76959167927270755</v>
      </c>
      <c r="E483" s="5">
        <f t="shared" si="23"/>
        <v>-4.9387165953191758E-2</v>
      </c>
      <c r="F483" s="5">
        <f t="shared" si="24"/>
        <v>-0.10408074892978747</v>
      </c>
      <c r="G483">
        <f t="shared" si="25"/>
        <v>1</v>
      </c>
    </row>
    <row r="484" spans="4:7" x14ac:dyDescent="0.55000000000000004">
      <c r="D484">
        <v>1.1267820809734985</v>
      </c>
      <c r="E484" s="5">
        <f t="shared" si="23"/>
        <v>0.31872219549273939</v>
      </c>
      <c r="F484" s="5">
        <f t="shared" si="24"/>
        <v>0.44808329323910923</v>
      </c>
      <c r="G484">
        <f t="shared" si="25"/>
        <v>0</v>
      </c>
    </row>
    <row r="485" spans="4:7" x14ac:dyDescent="0.55000000000000004">
      <c r="D485">
        <v>8.9119112089974806E-3</v>
      </c>
      <c r="E485" s="5">
        <f t="shared" si="23"/>
        <v>0.10172991106140435</v>
      </c>
      <c r="F485" s="5">
        <f t="shared" si="24"/>
        <v>0.12259486659210639</v>
      </c>
      <c r="G485">
        <f t="shared" si="25"/>
        <v>0</v>
      </c>
    </row>
    <row r="486" spans="4:7" x14ac:dyDescent="0.55000000000000004">
      <c r="D486">
        <v>-0.48066226554510649</v>
      </c>
      <c r="E486" s="5">
        <f t="shared" si="23"/>
        <v>6.6975701994567982E-3</v>
      </c>
      <c r="F486" s="5">
        <f t="shared" si="24"/>
        <v>-1.9953644700814954E-2</v>
      </c>
      <c r="G486">
        <f t="shared" si="25"/>
        <v>1</v>
      </c>
    </row>
    <row r="487" spans="4:7" x14ac:dyDescent="0.55000000000000004">
      <c r="D487">
        <v>1.142657310992945</v>
      </c>
      <c r="E487" s="5">
        <f t="shared" si="23"/>
        <v>0.32180377197716986</v>
      </c>
      <c r="F487" s="5">
        <f t="shared" si="24"/>
        <v>0.45270565796575468</v>
      </c>
      <c r="G487">
        <f t="shared" si="25"/>
        <v>0</v>
      </c>
    </row>
    <row r="488" spans="4:7" x14ac:dyDescent="0.55000000000000004">
      <c r="D488">
        <v>-0.44608214011532255</v>
      </c>
      <c r="E488" s="5">
        <f t="shared" si="23"/>
        <v>1.3409995860221763E-2</v>
      </c>
      <c r="F488" s="5">
        <f t="shared" si="24"/>
        <v>-9.8850062096671465E-3</v>
      </c>
      <c r="G488">
        <f t="shared" si="25"/>
        <v>1</v>
      </c>
    </row>
    <row r="489" spans="4:7" x14ac:dyDescent="0.55000000000000004">
      <c r="D489">
        <v>0.68313397605379578</v>
      </c>
      <c r="E489" s="5">
        <f t="shared" si="23"/>
        <v>0.23260466738083038</v>
      </c>
      <c r="F489" s="5">
        <f t="shared" si="24"/>
        <v>0.31890700107124581</v>
      </c>
      <c r="G489">
        <f t="shared" si="25"/>
        <v>0</v>
      </c>
    </row>
    <row r="490" spans="4:7" x14ac:dyDescent="0.55000000000000004">
      <c r="D490">
        <v>-1.3194539860705845</v>
      </c>
      <c r="E490" s="5">
        <f t="shared" si="23"/>
        <v>-0.15612217087768215</v>
      </c>
      <c r="F490" s="5">
        <f t="shared" si="24"/>
        <v>-0.26418325631652317</v>
      </c>
      <c r="G490">
        <f t="shared" si="25"/>
        <v>1</v>
      </c>
    </row>
    <row r="491" spans="4:7" x14ac:dyDescent="0.55000000000000004">
      <c r="D491">
        <v>0.78657308222318534</v>
      </c>
      <c r="E491" s="5">
        <f t="shared" si="23"/>
        <v>0.2526834641448229</v>
      </c>
      <c r="F491" s="5">
        <f t="shared" si="24"/>
        <v>0.34902519621723394</v>
      </c>
      <c r="G491">
        <f t="shared" si="25"/>
        <v>0</v>
      </c>
    </row>
    <row r="492" spans="4:7" x14ac:dyDescent="0.55000000000000004">
      <c r="D492">
        <v>-0.27217765818932094</v>
      </c>
      <c r="E492" s="5">
        <f t="shared" si="23"/>
        <v>4.7166984665031393E-2</v>
      </c>
      <c r="F492" s="5">
        <f t="shared" si="24"/>
        <v>4.075047699754708E-2</v>
      </c>
      <c r="G492">
        <f t="shared" si="25"/>
        <v>1</v>
      </c>
    </row>
    <row r="493" spans="4:7" x14ac:dyDescent="0.55000000000000004">
      <c r="D493">
        <v>0.16564740690228064</v>
      </c>
      <c r="E493" s="5">
        <f t="shared" si="23"/>
        <v>0.13215418946318697</v>
      </c>
      <c r="F493" s="5">
        <f t="shared" si="24"/>
        <v>0.16823128419478062</v>
      </c>
      <c r="G493">
        <f t="shared" si="25"/>
        <v>0</v>
      </c>
    </row>
    <row r="494" spans="4:7" x14ac:dyDescent="0.55000000000000004">
      <c r="D494">
        <v>-0.1780688307917444</v>
      </c>
      <c r="E494" s="5">
        <f t="shared" si="23"/>
        <v>6.543466010220346E-2</v>
      </c>
      <c r="F494" s="5">
        <f t="shared" si="24"/>
        <v>6.8151990153305197E-2</v>
      </c>
      <c r="G494">
        <f t="shared" si="25"/>
        <v>0</v>
      </c>
    </row>
    <row r="495" spans="4:7" x14ac:dyDescent="0.55000000000000004">
      <c r="D495">
        <v>-1.5949626686051488</v>
      </c>
      <c r="E495" s="5">
        <f t="shared" si="23"/>
        <v>-0.20960177881501263</v>
      </c>
      <c r="F495" s="5">
        <f t="shared" si="24"/>
        <v>-0.34440266822251886</v>
      </c>
      <c r="G495">
        <f t="shared" si="25"/>
        <v>1</v>
      </c>
    </row>
    <row r="496" spans="4:7" x14ac:dyDescent="0.55000000000000004">
      <c r="D496">
        <v>1.498838173574768</v>
      </c>
      <c r="E496" s="5">
        <f t="shared" si="23"/>
        <v>0.3909428376153874</v>
      </c>
      <c r="F496" s="5">
        <f t="shared" si="24"/>
        <v>0.55641425642308096</v>
      </c>
      <c r="G496">
        <f t="shared" si="25"/>
        <v>0</v>
      </c>
    </row>
    <row r="497" spans="4:7" x14ac:dyDescent="0.55000000000000004">
      <c r="D497">
        <v>-0.47997559704526793</v>
      </c>
      <c r="E497" s="5">
        <f t="shared" si="23"/>
        <v>6.8308609611723581E-3</v>
      </c>
      <c r="F497" s="5">
        <f t="shared" si="24"/>
        <v>-1.9753708558241323E-2</v>
      </c>
      <c r="G497">
        <f t="shared" si="25"/>
        <v>1</v>
      </c>
    </row>
    <row r="498" spans="4:7" x14ac:dyDescent="0.55000000000000004">
      <c r="D498">
        <v>0.74857098297798075</v>
      </c>
      <c r="E498" s="5">
        <f t="shared" si="23"/>
        <v>0.24530679147617082</v>
      </c>
      <c r="F498" s="5">
        <f t="shared" si="24"/>
        <v>0.33796018721425636</v>
      </c>
      <c r="G498">
        <f t="shared" si="25"/>
        <v>0</v>
      </c>
    </row>
    <row r="499" spans="4:7" x14ac:dyDescent="0.55000000000000004">
      <c r="D499">
        <v>-1.1263500709901564</v>
      </c>
      <c r="E499" s="5">
        <f t="shared" si="23"/>
        <v>-0.11863833706649454</v>
      </c>
      <c r="F499" s="5">
        <f t="shared" si="24"/>
        <v>-0.2079575055997418</v>
      </c>
      <c r="G499">
        <f t="shared" si="25"/>
        <v>1</v>
      </c>
    </row>
    <row r="500" spans="4:7" x14ac:dyDescent="0.55000000000000004">
      <c r="D500">
        <v>0.63887455326039344</v>
      </c>
      <c r="E500" s="5">
        <f t="shared" si="23"/>
        <v>0.22401337161204185</v>
      </c>
      <c r="F500" s="5">
        <f t="shared" si="24"/>
        <v>0.30602005741806271</v>
      </c>
      <c r="G500">
        <f t="shared" si="25"/>
        <v>0</v>
      </c>
    </row>
    <row r="501" spans="4:7" x14ac:dyDescent="0.55000000000000004">
      <c r="D501">
        <v>0.75049683800898492</v>
      </c>
      <c r="E501" s="5">
        <f t="shared" si="23"/>
        <v>0.24568062351316777</v>
      </c>
      <c r="F501" s="5">
        <f t="shared" si="24"/>
        <v>0.3385209352697518</v>
      </c>
      <c r="G501">
        <f t="shared" si="25"/>
        <v>0</v>
      </c>
    </row>
    <row r="502" spans="4:7" x14ac:dyDescent="0.55000000000000004">
      <c r="D502">
        <v>1.21194943858427</v>
      </c>
      <c r="E502" s="5">
        <f t="shared" si="23"/>
        <v>0.33525422218671141</v>
      </c>
      <c r="F502" s="5">
        <f t="shared" si="24"/>
        <v>0.47288133328006698</v>
      </c>
      <c r="G502">
        <f t="shared" si="25"/>
        <v>0</v>
      </c>
    </row>
    <row r="503" spans="4:7" x14ac:dyDescent="0.55000000000000004">
      <c r="D503">
        <v>2.3069515009410679</v>
      </c>
      <c r="E503" s="5">
        <f t="shared" si="23"/>
        <v>0.54780752702879409</v>
      </c>
      <c r="F503" s="5">
        <f t="shared" si="24"/>
        <v>0.79171129054319089</v>
      </c>
      <c r="G503">
        <f t="shared" si="25"/>
        <v>0</v>
      </c>
    </row>
    <row r="504" spans="4:7" x14ac:dyDescent="0.55000000000000004">
      <c r="D504">
        <v>0.13956423572381027</v>
      </c>
      <c r="E504" s="5">
        <f t="shared" si="23"/>
        <v>0.12709112663861746</v>
      </c>
      <c r="F504" s="5">
        <f t="shared" si="24"/>
        <v>0.16063668995792613</v>
      </c>
      <c r="G504">
        <f t="shared" si="25"/>
        <v>0</v>
      </c>
    </row>
    <row r="505" spans="4:7" x14ac:dyDescent="0.55000000000000004">
      <c r="D505">
        <v>-1.1211704986635596</v>
      </c>
      <c r="E505" s="5">
        <f t="shared" si="23"/>
        <v>-0.11763291867183218</v>
      </c>
      <c r="F505" s="5">
        <f t="shared" si="24"/>
        <v>-0.20644937800774821</v>
      </c>
      <c r="G505">
        <f t="shared" si="25"/>
        <v>1</v>
      </c>
    </row>
    <row r="506" spans="4:7" x14ac:dyDescent="0.55000000000000004">
      <c r="D506">
        <v>-0.2362264694966143</v>
      </c>
      <c r="E506" s="5">
        <f t="shared" si="23"/>
        <v>5.4145550489089332E-2</v>
      </c>
      <c r="F506" s="5">
        <f t="shared" si="24"/>
        <v>5.1218325733633829E-2</v>
      </c>
      <c r="G506">
        <f t="shared" si="25"/>
        <v>1</v>
      </c>
    </row>
    <row r="507" spans="4:7" x14ac:dyDescent="0.55000000000000004">
      <c r="D507">
        <v>0.25799408831517212</v>
      </c>
      <c r="E507" s="5">
        <f t="shared" si="23"/>
        <v>0.15007981079330751</v>
      </c>
      <c r="F507" s="5">
        <f t="shared" si="24"/>
        <v>0.19511971618996093</v>
      </c>
      <c r="G507">
        <f t="shared" si="25"/>
        <v>0</v>
      </c>
    </row>
    <row r="508" spans="4:7" x14ac:dyDescent="0.55000000000000004">
      <c r="D508">
        <v>-0.34585355024319142</v>
      </c>
      <c r="E508" s="5">
        <f t="shared" si="23"/>
        <v>3.286559210917335E-2</v>
      </c>
      <c r="F508" s="5">
        <f t="shared" si="24"/>
        <v>1.9298388163760061E-2</v>
      </c>
      <c r="G508">
        <f t="shared" si="25"/>
        <v>1</v>
      </c>
    </row>
    <row r="509" spans="4:7" x14ac:dyDescent="0.55000000000000004">
      <c r="D509">
        <v>-0.55297732615144923</v>
      </c>
      <c r="E509" s="5">
        <f t="shared" si="23"/>
        <v>-7.3396683137298552E-3</v>
      </c>
      <c r="F509" s="5">
        <f t="shared" si="24"/>
        <v>-4.1009502470594761E-2</v>
      </c>
      <c r="G509">
        <f t="shared" si="25"/>
        <v>1</v>
      </c>
    </row>
    <row r="510" spans="4:7" x14ac:dyDescent="0.55000000000000004">
      <c r="D510">
        <v>0.23599000087415334</v>
      </c>
      <c r="E510" s="5">
        <f t="shared" si="23"/>
        <v>0.145808548056545</v>
      </c>
      <c r="F510" s="5">
        <f t="shared" si="24"/>
        <v>0.18871282208481754</v>
      </c>
      <c r="G510">
        <f t="shared" si="25"/>
        <v>0</v>
      </c>
    </row>
    <row r="511" spans="4:7" x14ac:dyDescent="0.55000000000000004">
      <c r="D511">
        <v>0.76928358794248197</v>
      </c>
      <c r="E511" s="5">
        <f t="shared" si="23"/>
        <v>0.24932736165447497</v>
      </c>
      <c r="F511" s="5">
        <f t="shared" si="24"/>
        <v>0.34399104248171253</v>
      </c>
      <c r="G511">
        <f t="shared" si="25"/>
        <v>0</v>
      </c>
    </row>
    <row r="512" spans="4:7" x14ac:dyDescent="0.55000000000000004">
      <c r="D512">
        <v>-0.16239027900155634</v>
      </c>
      <c r="E512" s="5">
        <f t="shared" si="23"/>
        <v>6.8478058934685615E-2</v>
      </c>
      <c r="F512" s="5">
        <f t="shared" si="24"/>
        <v>7.2717088402028507E-2</v>
      </c>
      <c r="G512">
        <f t="shared" si="25"/>
        <v>0</v>
      </c>
    </row>
    <row r="513" spans="4:7" x14ac:dyDescent="0.55000000000000004">
      <c r="D513">
        <v>0.93853032012702897</v>
      </c>
      <c r="E513" s="5">
        <f t="shared" si="23"/>
        <v>0.28218022421632327</v>
      </c>
      <c r="F513" s="5">
        <f t="shared" si="24"/>
        <v>0.39327033632448472</v>
      </c>
      <c r="G513">
        <f t="shared" si="25"/>
        <v>0</v>
      </c>
    </row>
    <row r="514" spans="4:7" x14ac:dyDescent="0.55000000000000004">
      <c r="D514">
        <v>-1.4673651094199158</v>
      </c>
      <c r="E514" s="5">
        <f t="shared" si="23"/>
        <v>-0.18483353058337848</v>
      </c>
      <c r="F514" s="5">
        <f t="shared" si="24"/>
        <v>-0.3072502958750678</v>
      </c>
      <c r="G514">
        <f t="shared" si="25"/>
        <v>1</v>
      </c>
    </row>
    <row r="515" spans="4:7" x14ac:dyDescent="0.55000000000000004">
      <c r="D515">
        <v>-1.2874352250946686</v>
      </c>
      <c r="E515" s="5">
        <f t="shared" si="23"/>
        <v>-0.14990693741252173</v>
      </c>
      <c r="F515" s="5">
        <f t="shared" si="24"/>
        <v>-0.25486040611878247</v>
      </c>
      <c r="G515">
        <f t="shared" si="25"/>
        <v>1</v>
      </c>
    </row>
    <row r="516" spans="4:7" x14ac:dyDescent="0.55000000000000004">
      <c r="D516">
        <v>-0.89223931354354136</v>
      </c>
      <c r="E516" s="5">
        <f t="shared" ref="E516:E579" si="26">$B$3+D516*$B$4</f>
        <v>-7.319457316411479E-2</v>
      </c>
      <c r="F516" s="5">
        <f t="shared" ref="F516:F579" si="27">($B$2*(1+E516)-$B$5*(1+$B$6))/$B$7-1</f>
        <v>-0.13979185974617225</v>
      </c>
      <c r="G516">
        <f t="shared" ref="G516:G579" si="28">IF(F516&lt;E516,1,0)</f>
        <v>1</v>
      </c>
    </row>
    <row r="517" spans="4:7" x14ac:dyDescent="0.55000000000000004">
      <c r="D517">
        <v>7.8223365562735125E-2</v>
      </c>
      <c r="E517" s="5">
        <f t="shared" si="26"/>
        <v>0.11518411283211998</v>
      </c>
      <c r="F517" s="5">
        <f t="shared" si="27"/>
        <v>0.14277616924817993</v>
      </c>
      <c r="G517">
        <f t="shared" si="28"/>
        <v>0</v>
      </c>
    </row>
    <row r="518" spans="4:7" x14ac:dyDescent="0.55000000000000004">
      <c r="D518">
        <v>0.91770061771967448</v>
      </c>
      <c r="E518" s="5">
        <f t="shared" si="26"/>
        <v>0.27813692399090539</v>
      </c>
      <c r="F518" s="5">
        <f t="shared" si="27"/>
        <v>0.38720538598635823</v>
      </c>
      <c r="G518">
        <f t="shared" si="28"/>
        <v>0</v>
      </c>
    </row>
    <row r="519" spans="4:7" x14ac:dyDescent="0.55000000000000004">
      <c r="D519">
        <v>-1.6790500012575649</v>
      </c>
      <c r="E519" s="5">
        <f t="shared" si="26"/>
        <v>-0.22592415944337241</v>
      </c>
      <c r="F519" s="5">
        <f t="shared" si="27"/>
        <v>-0.36888623916505858</v>
      </c>
      <c r="G519">
        <f t="shared" si="28"/>
        <v>1</v>
      </c>
    </row>
    <row r="520" spans="4:7" x14ac:dyDescent="0.55000000000000004">
      <c r="D520">
        <v>-0.29959210223751143</v>
      </c>
      <c r="E520" s="5">
        <f t="shared" si="26"/>
        <v>4.1845505479586209E-2</v>
      </c>
      <c r="F520" s="5">
        <f t="shared" si="27"/>
        <v>3.2768258219379121E-2</v>
      </c>
      <c r="G520">
        <f t="shared" si="28"/>
        <v>1</v>
      </c>
    </row>
    <row r="521" spans="4:7" x14ac:dyDescent="0.55000000000000004">
      <c r="D521">
        <v>1.6007197700673714</v>
      </c>
      <c r="E521" s="5">
        <f t="shared" si="26"/>
        <v>0.4107193026847602</v>
      </c>
      <c r="F521" s="5">
        <f t="shared" si="27"/>
        <v>0.58607895402714028</v>
      </c>
      <c r="G521">
        <f t="shared" si="28"/>
        <v>0</v>
      </c>
    </row>
    <row r="522" spans="4:7" x14ac:dyDescent="0.55000000000000004">
      <c r="D522">
        <v>-0.79389110396732576</v>
      </c>
      <c r="E522" s="5">
        <f t="shared" si="26"/>
        <v>-5.4103981749397512E-2</v>
      </c>
      <c r="F522" s="5">
        <f t="shared" si="27"/>
        <v>-0.11115597262409627</v>
      </c>
      <c r="G522">
        <f t="shared" si="28"/>
        <v>1</v>
      </c>
    </row>
    <row r="523" spans="4:7" x14ac:dyDescent="0.55000000000000004">
      <c r="D523">
        <v>-1.8258469935972244</v>
      </c>
      <c r="E523" s="5">
        <f t="shared" si="26"/>
        <v>-0.25441925268138454</v>
      </c>
      <c r="F523" s="5">
        <f t="shared" si="27"/>
        <v>-0.41162887902207679</v>
      </c>
      <c r="G523">
        <f t="shared" si="28"/>
        <v>1</v>
      </c>
    </row>
    <row r="524" spans="4:7" x14ac:dyDescent="0.55000000000000004">
      <c r="D524">
        <v>0.5367382982512936</v>
      </c>
      <c r="E524" s="5">
        <f t="shared" si="26"/>
        <v>0.20418747420719838</v>
      </c>
      <c r="F524" s="5">
        <f t="shared" si="27"/>
        <v>0.27628121131079753</v>
      </c>
      <c r="G524">
        <f t="shared" si="28"/>
        <v>0</v>
      </c>
    </row>
    <row r="525" spans="4:7" x14ac:dyDescent="0.55000000000000004">
      <c r="D525">
        <v>0.76363903644960374</v>
      </c>
      <c r="E525" s="5">
        <f t="shared" si="26"/>
        <v>0.24823168511156482</v>
      </c>
      <c r="F525" s="5">
        <f t="shared" si="27"/>
        <v>0.34234752766734755</v>
      </c>
      <c r="G525">
        <f t="shared" si="28"/>
        <v>0</v>
      </c>
    </row>
    <row r="526" spans="4:7" x14ac:dyDescent="0.55000000000000004">
      <c r="D526">
        <v>-0.32860498322406784</v>
      </c>
      <c r="E526" s="5">
        <f t="shared" si="26"/>
        <v>3.621375011703494E-2</v>
      </c>
      <c r="F526" s="5">
        <f t="shared" si="27"/>
        <v>2.4320625175552335E-2</v>
      </c>
      <c r="G526">
        <f t="shared" si="28"/>
        <v>1</v>
      </c>
    </row>
    <row r="527" spans="4:7" x14ac:dyDescent="0.55000000000000004">
      <c r="D527">
        <v>-0.12004647942376323</v>
      </c>
      <c r="E527" s="5">
        <f t="shared" si="26"/>
        <v>7.66975087870988E-2</v>
      </c>
      <c r="F527" s="5">
        <f t="shared" si="27"/>
        <v>8.504626318064834E-2</v>
      </c>
      <c r="G527">
        <f t="shared" si="28"/>
        <v>0</v>
      </c>
    </row>
    <row r="528" spans="4:7" x14ac:dyDescent="0.55000000000000004">
      <c r="D528">
        <v>-0.78792936619720422</v>
      </c>
      <c r="E528" s="5">
        <f t="shared" si="26"/>
        <v>-5.2946735467218092E-2</v>
      </c>
      <c r="F528" s="5">
        <f t="shared" si="27"/>
        <v>-0.10942010320082718</v>
      </c>
      <c r="G528">
        <f t="shared" si="28"/>
        <v>1</v>
      </c>
    </row>
    <row r="529" spans="4:7" x14ac:dyDescent="0.55000000000000004">
      <c r="D529">
        <v>0.32586058296146803</v>
      </c>
      <c r="E529" s="5">
        <f t="shared" si="26"/>
        <v>0.16325352819624092</v>
      </c>
      <c r="F529" s="5">
        <f t="shared" si="27"/>
        <v>0.21488029229436134</v>
      </c>
      <c r="G529">
        <f t="shared" si="28"/>
        <v>0</v>
      </c>
    </row>
    <row r="530" spans="4:7" x14ac:dyDescent="0.55000000000000004">
      <c r="D530">
        <v>0.31788431442691945</v>
      </c>
      <c r="E530" s="5">
        <f t="shared" si="26"/>
        <v>0.16170523683167745</v>
      </c>
      <c r="F530" s="5">
        <f t="shared" si="27"/>
        <v>0.2125578552475158</v>
      </c>
      <c r="G530">
        <f t="shared" si="28"/>
        <v>0</v>
      </c>
    </row>
    <row r="531" spans="4:7" x14ac:dyDescent="0.55000000000000004">
      <c r="D531">
        <v>-0.21793653104396071</v>
      </c>
      <c r="E531" s="5">
        <f t="shared" si="26"/>
        <v>5.7695851440214913E-2</v>
      </c>
      <c r="F531" s="5">
        <f t="shared" si="27"/>
        <v>5.6543777160322328E-2</v>
      </c>
      <c r="G531">
        <f t="shared" si="28"/>
        <v>1</v>
      </c>
    </row>
    <row r="532" spans="4:7" x14ac:dyDescent="0.55000000000000004">
      <c r="D532">
        <v>0.70955366027192213</v>
      </c>
      <c r="E532" s="5">
        <f t="shared" si="26"/>
        <v>0.23773305150584326</v>
      </c>
      <c r="F532" s="5">
        <f t="shared" si="27"/>
        <v>0.32659957725876487</v>
      </c>
      <c r="G532">
        <f t="shared" si="28"/>
        <v>0</v>
      </c>
    </row>
    <row r="533" spans="4:7" x14ac:dyDescent="0.55000000000000004">
      <c r="D533">
        <v>1.3623093764181249</v>
      </c>
      <c r="E533" s="5">
        <f t="shared" si="26"/>
        <v>0.36444092676117473</v>
      </c>
      <c r="F533" s="5">
        <f t="shared" si="27"/>
        <v>0.51666139014176227</v>
      </c>
      <c r="G533">
        <f t="shared" si="28"/>
        <v>0</v>
      </c>
    </row>
    <row r="534" spans="4:7" x14ac:dyDescent="0.55000000000000004">
      <c r="D534">
        <v>-0.35512584872776642</v>
      </c>
      <c r="E534" s="5">
        <f t="shared" si="26"/>
        <v>3.106572546587523E-2</v>
      </c>
      <c r="F534" s="5">
        <f t="shared" si="27"/>
        <v>1.659858819881288E-2</v>
      </c>
      <c r="G534">
        <f t="shared" si="28"/>
        <v>1</v>
      </c>
    </row>
    <row r="535" spans="4:7" x14ac:dyDescent="0.55000000000000004">
      <c r="D535">
        <v>-0.41469547795713879</v>
      </c>
      <c r="E535" s="5">
        <f t="shared" si="26"/>
        <v>1.9502531206981769E-2</v>
      </c>
      <c r="F535" s="5">
        <f t="shared" si="27"/>
        <v>-7.4620318952711706E-4</v>
      </c>
      <c r="G535">
        <f t="shared" si="28"/>
        <v>1</v>
      </c>
    </row>
    <row r="536" spans="4:7" x14ac:dyDescent="0.55000000000000004">
      <c r="D536">
        <v>0.95928953669499606</v>
      </c>
      <c r="E536" s="5">
        <f t="shared" si="26"/>
        <v>0.2862098422774591</v>
      </c>
      <c r="F536" s="5">
        <f t="shared" si="27"/>
        <v>0.39931476341618866</v>
      </c>
      <c r="G536">
        <f t="shared" si="28"/>
        <v>0</v>
      </c>
    </row>
    <row r="537" spans="4:7" x14ac:dyDescent="0.55000000000000004">
      <c r="D537">
        <v>-0.23567508833366446</v>
      </c>
      <c r="E537" s="5">
        <f t="shared" si="26"/>
        <v>5.4252580322586098E-2</v>
      </c>
      <c r="F537" s="5">
        <f t="shared" si="27"/>
        <v>5.1378870483879346E-2</v>
      </c>
      <c r="G537">
        <f t="shared" si="28"/>
        <v>1</v>
      </c>
    </row>
    <row r="538" spans="4:7" x14ac:dyDescent="0.55000000000000004">
      <c r="D538">
        <v>-1.799353412934579</v>
      </c>
      <c r="E538" s="5">
        <f t="shared" si="26"/>
        <v>-0.24927652435188241</v>
      </c>
      <c r="F538" s="5">
        <f t="shared" si="27"/>
        <v>-0.40391478652782375</v>
      </c>
      <c r="G538">
        <f t="shared" si="28"/>
        <v>1</v>
      </c>
    </row>
    <row r="539" spans="4:7" x14ac:dyDescent="0.55000000000000004">
      <c r="D539">
        <v>-1.6706508176866919</v>
      </c>
      <c r="E539" s="5">
        <f t="shared" si="26"/>
        <v>-0.2242937750931166</v>
      </c>
      <c r="F539" s="5">
        <f t="shared" si="27"/>
        <v>-0.36644066263967512</v>
      </c>
      <c r="G539">
        <f t="shared" si="28"/>
        <v>1</v>
      </c>
    </row>
    <row r="540" spans="4:7" x14ac:dyDescent="0.55000000000000004">
      <c r="D540">
        <v>1.3891076378058642</v>
      </c>
      <c r="E540" s="5">
        <f t="shared" si="26"/>
        <v>0.36964279734918642</v>
      </c>
      <c r="F540" s="5">
        <f t="shared" si="27"/>
        <v>0.52446419602377969</v>
      </c>
      <c r="G540">
        <f t="shared" si="28"/>
        <v>0</v>
      </c>
    </row>
    <row r="541" spans="4:7" x14ac:dyDescent="0.55000000000000004">
      <c r="D541">
        <v>-0.55190866987686604</v>
      </c>
      <c r="E541" s="5">
        <f t="shared" si="26"/>
        <v>-7.1322290488082946E-3</v>
      </c>
      <c r="F541" s="5">
        <f t="shared" si="27"/>
        <v>-4.0698343573212337E-2</v>
      </c>
      <c r="G541">
        <f t="shared" si="28"/>
        <v>1</v>
      </c>
    </row>
    <row r="542" spans="4:7" x14ac:dyDescent="0.55000000000000004">
      <c r="D542">
        <v>0.33442347557866015</v>
      </c>
      <c r="E542" s="5">
        <f t="shared" si="26"/>
        <v>0.16491569047644217</v>
      </c>
      <c r="F542" s="5">
        <f t="shared" si="27"/>
        <v>0.21737353571466334</v>
      </c>
      <c r="G542">
        <f t="shared" si="28"/>
        <v>0</v>
      </c>
    </row>
    <row r="543" spans="4:7" x14ac:dyDescent="0.55000000000000004">
      <c r="D543">
        <v>7.1531758294440806E-3</v>
      </c>
      <c r="E543" s="5">
        <f t="shared" si="26"/>
        <v>0.10138851899456003</v>
      </c>
      <c r="F543" s="5">
        <f t="shared" si="27"/>
        <v>0.12208277849184013</v>
      </c>
      <c r="G543">
        <f t="shared" si="28"/>
        <v>0</v>
      </c>
    </row>
    <row r="544" spans="4:7" x14ac:dyDescent="0.55000000000000004">
      <c r="D544">
        <v>1.2509735825005919</v>
      </c>
      <c r="E544" s="5">
        <f t="shared" si="26"/>
        <v>0.34282928623745335</v>
      </c>
      <c r="F544" s="5">
        <f t="shared" si="27"/>
        <v>0.48424392935618021</v>
      </c>
      <c r="G544">
        <f t="shared" si="28"/>
        <v>0</v>
      </c>
    </row>
    <row r="545" spans="4:7" x14ac:dyDescent="0.55000000000000004">
      <c r="D545">
        <v>-1.0962776286760345</v>
      </c>
      <c r="E545" s="5">
        <f t="shared" si="26"/>
        <v>-0.11280090787957425</v>
      </c>
      <c r="F545" s="5">
        <f t="shared" si="27"/>
        <v>-0.19920136181936121</v>
      </c>
      <c r="G545">
        <f t="shared" si="28"/>
        <v>1</v>
      </c>
    </row>
    <row r="546" spans="4:7" x14ac:dyDescent="0.55000000000000004">
      <c r="D546">
        <v>-0.40479449125996325</v>
      </c>
      <c r="E546" s="5">
        <f t="shared" si="26"/>
        <v>2.1424433928473111E-2</v>
      </c>
      <c r="F546" s="5">
        <f t="shared" si="27"/>
        <v>2.1366508927096461E-3</v>
      </c>
      <c r="G546">
        <f t="shared" si="28"/>
        <v>1</v>
      </c>
    </row>
    <row r="547" spans="4:7" x14ac:dyDescent="0.55000000000000004">
      <c r="D547">
        <v>1.1643805919447914</v>
      </c>
      <c r="E547" s="5">
        <f t="shared" si="26"/>
        <v>0.32602052673687321</v>
      </c>
      <c r="F547" s="5">
        <f t="shared" si="27"/>
        <v>0.45903079010530967</v>
      </c>
      <c r="G547">
        <f t="shared" si="28"/>
        <v>0</v>
      </c>
    </row>
    <row r="548" spans="4:7" x14ac:dyDescent="0.55000000000000004">
      <c r="D548">
        <v>-0.10418716556159779</v>
      </c>
      <c r="E548" s="5">
        <f t="shared" si="26"/>
        <v>7.9775995750562351E-2</v>
      </c>
      <c r="F548" s="5">
        <f t="shared" si="27"/>
        <v>8.9663993625843652E-2</v>
      </c>
      <c r="G548">
        <f t="shared" si="28"/>
        <v>0</v>
      </c>
    </row>
    <row r="549" spans="4:7" x14ac:dyDescent="0.55000000000000004">
      <c r="D549">
        <v>0.56900489653344266</v>
      </c>
      <c r="E549" s="5">
        <f t="shared" si="26"/>
        <v>0.21045081592741505</v>
      </c>
      <c r="F549" s="5">
        <f t="shared" si="27"/>
        <v>0.28567622389112257</v>
      </c>
      <c r="G549">
        <f t="shared" si="28"/>
        <v>0</v>
      </c>
    </row>
    <row r="550" spans="4:7" x14ac:dyDescent="0.55000000000000004">
      <c r="D550">
        <v>0.77268168752198108</v>
      </c>
      <c r="E550" s="5">
        <f t="shared" si="26"/>
        <v>0.24998697438091172</v>
      </c>
      <c r="F550" s="5">
        <f t="shared" si="27"/>
        <v>0.34498046157136786</v>
      </c>
      <c r="G550">
        <f t="shared" si="28"/>
        <v>0</v>
      </c>
    </row>
    <row r="551" spans="4:7" x14ac:dyDescent="0.55000000000000004">
      <c r="D551">
        <v>-1.3696990208700299</v>
      </c>
      <c r="E551" s="5">
        <f t="shared" si="26"/>
        <v>-0.1658753472101005</v>
      </c>
      <c r="F551" s="5">
        <f t="shared" si="27"/>
        <v>-0.27881302081515058</v>
      </c>
      <c r="G551">
        <f t="shared" si="28"/>
        <v>1</v>
      </c>
    </row>
    <row r="552" spans="4:7" x14ac:dyDescent="0.55000000000000004">
      <c r="D552">
        <v>-1.0182861842622515</v>
      </c>
      <c r="E552" s="5">
        <f t="shared" si="26"/>
        <v>-9.7661813781543622E-2</v>
      </c>
      <c r="F552" s="5">
        <f t="shared" si="27"/>
        <v>-0.17649272067231536</v>
      </c>
      <c r="G552">
        <f t="shared" si="28"/>
        <v>1</v>
      </c>
    </row>
    <row r="553" spans="4:7" x14ac:dyDescent="0.55000000000000004">
      <c r="D553">
        <v>-1.7303955246461555</v>
      </c>
      <c r="E553" s="5">
        <f t="shared" si="26"/>
        <v>-0.2358909540826461</v>
      </c>
      <c r="F553" s="5">
        <f t="shared" si="27"/>
        <v>-0.38383643112396926</v>
      </c>
      <c r="G553">
        <f t="shared" si="28"/>
        <v>1</v>
      </c>
    </row>
    <row r="554" spans="4:7" x14ac:dyDescent="0.55000000000000004">
      <c r="D554">
        <v>-0.12097075341443997</v>
      </c>
      <c r="E554" s="5">
        <f t="shared" si="26"/>
        <v>7.6518095890948545E-2</v>
      </c>
      <c r="F554" s="5">
        <f t="shared" si="27"/>
        <v>8.4777143836422875E-2</v>
      </c>
      <c r="G554">
        <f t="shared" si="28"/>
        <v>0</v>
      </c>
    </row>
    <row r="555" spans="4:7" x14ac:dyDescent="0.55000000000000004">
      <c r="D555">
        <v>-0.15356022231571842</v>
      </c>
      <c r="E555" s="5">
        <f t="shared" si="26"/>
        <v>7.0192081031117265E-2</v>
      </c>
      <c r="F555" s="5">
        <f t="shared" si="27"/>
        <v>7.5288121546675857E-2</v>
      </c>
      <c r="G555">
        <f t="shared" si="28"/>
        <v>0</v>
      </c>
    </row>
    <row r="556" spans="4:7" x14ac:dyDescent="0.55000000000000004">
      <c r="D556">
        <v>-2.0433617464732379</v>
      </c>
      <c r="E556" s="5">
        <f t="shared" si="26"/>
        <v>-0.29664152893554629</v>
      </c>
      <c r="F556" s="5">
        <f t="shared" si="27"/>
        <v>-0.47496229340331941</v>
      </c>
      <c r="G556">
        <f t="shared" si="28"/>
        <v>1</v>
      </c>
    </row>
    <row r="557" spans="4:7" x14ac:dyDescent="0.55000000000000004">
      <c r="D557">
        <v>0.15836121747270226</v>
      </c>
      <c r="E557" s="5">
        <f t="shared" si="26"/>
        <v>0.13073985090054624</v>
      </c>
      <c r="F557" s="5">
        <f t="shared" si="27"/>
        <v>0.16610977635081947</v>
      </c>
      <c r="G557">
        <f t="shared" si="28"/>
        <v>0</v>
      </c>
    </row>
    <row r="558" spans="4:7" x14ac:dyDescent="0.55000000000000004">
      <c r="D558">
        <v>0.94652250481885858</v>
      </c>
      <c r="E558" s="5">
        <f t="shared" si="26"/>
        <v>0.28373160510185369</v>
      </c>
      <c r="F558" s="5">
        <f t="shared" si="27"/>
        <v>0.3955974076527804</v>
      </c>
      <c r="G558">
        <f t="shared" si="28"/>
        <v>0</v>
      </c>
    </row>
    <row r="559" spans="4:7" x14ac:dyDescent="0.55000000000000004">
      <c r="D559">
        <v>0.24150040189852007</v>
      </c>
      <c r="E559" s="5">
        <f t="shared" si="26"/>
        <v>0.14687818435130542</v>
      </c>
      <c r="F559" s="5">
        <f t="shared" si="27"/>
        <v>0.19031727652695807</v>
      </c>
      <c r="G559">
        <f t="shared" si="28"/>
        <v>0</v>
      </c>
    </row>
    <row r="560" spans="4:7" x14ac:dyDescent="0.55000000000000004">
      <c r="D560">
        <v>-0.29032321435806807</v>
      </c>
      <c r="E560" s="5">
        <f t="shared" si="26"/>
        <v>4.3644710082677132E-2</v>
      </c>
      <c r="F560" s="5">
        <f t="shared" si="27"/>
        <v>3.5467065124015651E-2</v>
      </c>
      <c r="G560">
        <f t="shared" si="28"/>
        <v>1</v>
      </c>
    </row>
    <row r="561" spans="4:7" x14ac:dyDescent="0.55000000000000004">
      <c r="D561">
        <v>1.25298356579151</v>
      </c>
      <c r="E561" s="5">
        <f t="shared" si="26"/>
        <v>0.34321944859956111</v>
      </c>
      <c r="F561" s="5">
        <f t="shared" si="27"/>
        <v>0.48482917289934147</v>
      </c>
      <c r="G561">
        <f t="shared" si="28"/>
        <v>0</v>
      </c>
    </row>
    <row r="562" spans="4:7" x14ac:dyDescent="0.55000000000000004">
      <c r="D562">
        <v>0.68661620389320888</v>
      </c>
      <c r="E562" s="5">
        <f t="shared" si="26"/>
        <v>0.23328061043237797</v>
      </c>
      <c r="F562" s="5">
        <f t="shared" si="27"/>
        <v>0.31992091564856673</v>
      </c>
      <c r="G562">
        <f t="shared" si="28"/>
        <v>0</v>
      </c>
    </row>
    <row r="563" spans="4:7" x14ac:dyDescent="0.55000000000000004">
      <c r="D563">
        <v>-0.15712203094153665</v>
      </c>
      <c r="E563" s="5">
        <f t="shared" si="26"/>
        <v>6.950069037473508E-2</v>
      </c>
      <c r="F563" s="5">
        <f t="shared" si="27"/>
        <v>7.4251035562102441E-2</v>
      </c>
      <c r="G563">
        <f t="shared" si="28"/>
        <v>0</v>
      </c>
    </row>
    <row r="564" spans="4:7" x14ac:dyDescent="0.55000000000000004">
      <c r="D564">
        <v>1.0208577805315144</v>
      </c>
      <c r="E564" s="5">
        <f t="shared" si="26"/>
        <v>0.29816099209776969</v>
      </c>
      <c r="F564" s="5">
        <f t="shared" si="27"/>
        <v>0.41724148814665463</v>
      </c>
      <c r="G564">
        <f t="shared" si="28"/>
        <v>0</v>
      </c>
    </row>
    <row r="565" spans="4:7" x14ac:dyDescent="0.55000000000000004">
      <c r="D565">
        <v>-2.1664800442522392</v>
      </c>
      <c r="E565" s="5">
        <f t="shared" si="26"/>
        <v>-0.32054029769506243</v>
      </c>
      <c r="F565" s="5">
        <f t="shared" si="27"/>
        <v>-0.51081044654259367</v>
      </c>
      <c r="G565">
        <f t="shared" si="28"/>
        <v>1</v>
      </c>
    </row>
    <row r="566" spans="4:7" x14ac:dyDescent="0.55000000000000004">
      <c r="D566">
        <v>-3.3276137401117012E-3</v>
      </c>
      <c r="E566" s="5">
        <f t="shared" si="26"/>
        <v>9.9354069437845291E-2</v>
      </c>
      <c r="F566" s="5">
        <f t="shared" si="27"/>
        <v>0.11903110415676776</v>
      </c>
      <c r="G566">
        <f t="shared" si="28"/>
        <v>0</v>
      </c>
    </row>
    <row r="567" spans="4:7" x14ac:dyDescent="0.55000000000000004">
      <c r="D567">
        <v>-1.6234389477176592</v>
      </c>
      <c r="E567" s="5">
        <f t="shared" si="26"/>
        <v>-0.21512937318496494</v>
      </c>
      <c r="F567" s="5">
        <f t="shared" si="27"/>
        <v>-0.35269405977744739</v>
      </c>
      <c r="G567">
        <f t="shared" si="28"/>
        <v>1</v>
      </c>
    </row>
    <row r="568" spans="4:7" x14ac:dyDescent="0.55000000000000004">
      <c r="D568">
        <v>1.7122238205047324</v>
      </c>
      <c r="E568" s="5">
        <f t="shared" si="26"/>
        <v>0.43236360385870332</v>
      </c>
      <c r="F568" s="5">
        <f t="shared" si="27"/>
        <v>0.61854540578805506</v>
      </c>
      <c r="G568">
        <f t="shared" si="28"/>
        <v>0</v>
      </c>
    </row>
    <row r="569" spans="4:7" x14ac:dyDescent="0.55000000000000004">
      <c r="D569">
        <v>-0.47989033191697672</v>
      </c>
      <c r="E569" s="5">
        <f t="shared" si="26"/>
        <v>6.8474119663522598E-3</v>
      </c>
      <c r="F569" s="5">
        <f t="shared" si="27"/>
        <v>-1.972888205047163E-2</v>
      </c>
      <c r="G569">
        <f t="shared" si="28"/>
        <v>1</v>
      </c>
    </row>
    <row r="570" spans="4:7" x14ac:dyDescent="0.55000000000000004">
      <c r="D570">
        <v>-0.76856395025970414</v>
      </c>
      <c r="E570" s="5">
        <f t="shared" si="26"/>
        <v>-4.9187671170756564E-2</v>
      </c>
      <c r="F570" s="5">
        <f t="shared" si="27"/>
        <v>-0.10378150675613484</v>
      </c>
      <c r="G570">
        <f t="shared" si="28"/>
        <v>1</v>
      </c>
    </row>
    <row r="571" spans="4:7" x14ac:dyDescent="0.55000000000000004">
      <c r="D571">
        <v>-9.9189492175355554E-2</v>
      </c>
      <c r="E571" s="5">
        <f t="shared" si="26"/>
        <v>8.0746105334174242E-2</v>
      </c>
      <c r="F571" s="5">
        <f t="shared" si="27"/>
        <v>9.1119158001261358E-2</v>
      </c>
      <c r="G571">
        <f t="shared" si="28"/>
        <v>0</v>
      </c>
    </row>
    <row r="572" spans="4:7" x14ac:dyDescent="0.55000000000000004">
      <c r="D572">
        <v>0.42271153688488994</v>
      </c>
      <c r="E572" s="5">
        <f t="shared" si="26"/>
        <v>0.18205348395999893</v>
      </c>
      <c r="F572" s="5">
        <f t="shared" si="27"/>
        <v>0.24308022593999845</v>
      </c>
      <c r="G572">
        <f t="shared" si="28"/>
        <v>0</v>
      </c>
    </row>
    <row r="573" spans="4:7" x14ac:dyDescent="0.55000000000000004">
      <c r="D573">
        <v>-0.19192157196812332</v>
      </c>
      <c r="E573" s="5">
        <f t="shared" si="26"/>
        <v>6.2745673460640486E-2</v>
      </c>
      <c r="F573" s="5">
        <f t="shared" si="27"/>
        <v>6.4118510190960709E-2</v>
      </c>
      <c r="G573">
        <f t="shared" si="28"/>
        <v>0</v>
      </c>
    </row>
    <row r="574" spans="4:7" x14ac:dyDescent="0.55000000000000004">
      <c r="D574">
        <v>-1.1220322448934894</v>
      </c>
      <c r="E574" s="5">
        <f t="shared" si="26"/>
        <v>-0.11780019416418383</v>
      </c>
      <c r="F574" s="5">
        <f t="shared" si="27"/>
        <v>-0.20670029124627576</v>
      </c>
      <c r="G574">
        <f t="shared" si="28"/>
        <v>1</v>
      </c>
    </row>
    <row r="575" spans="4:7" x14ac:dyDescent="0.55000000000000004">
      <c r="D575">
        <v>-0.65661424741847441</v>
      </c>
      <c r="E575" s="5">
        <f t="shared" si="26"/>
        <v>-2.7456863409739768E-2</v>
      </c>
      <c r="F575" s="5">
        <f t="shared" si="27"/>
        <v>-7.1185295114609692E-2</v>
      </c>
      <c r="G575">
        <f t="shared" si="28"/>
        <v>1</v>
      </c>
    </row>
    <row r="576" spans="4:7" x14ac:dyDescent="0.55000000000000004">
      <c r="D576">
        <v>-2.09610334422905</v>
      </c>
      <c r="E576" s="5">
        <f t="shared" si="26"/>
        <v>-0.30687931869963242</v>
      </c>
      <c r="F576" s="5">
        <f t="shared" si="27"/>
        <v>-0.49031897804944857</v>
      </c>
      <c r="G576">
        <f t="shared" si="28"/>
        <v>1</v>
      </c>
    </row>
    <row r="577" spans="4:7" x14ac:dyDescent="0.55000000000000004">
      <c r="D577">
        <v>-0.85041847341926768</v>
      </c>
      <c r="E577" s="5">
        <f t="shared" si="26"/>
        <v>-6.5076636143471728E-2</v>
      </c>
      <c r="F577" s="5">
        <f t="shared" si="27"/>
        <v>-0.12761495421520763</v>
      </c>
      <c r="G577">
        <f t="shared" si="28"/>
        <v>1</v>
      </c>
    </row>
    <row r="578" spans="4:7" x14ac:dyDescent="0.55000000000000004">
      <c r="D578">
        <v>-1.1251950127189048</v>
      </c>
      <c r="E578" s="5">
        <f t="shared" si="26"/>
        <v>-0.11841412611632401</v>
      </c>
      <c r="F578" s="5">
        <f t="shared" si="27"/>
        <v>-0.20762118917448602</v>
      </c>
      <c r="G578">
        <f t="shared" si="28"/>
        <v>1</v>
      </c>
    </row>
    <row r="579" spans="4:7" x14ac:dyDescent="0.55000000000000004">
      <c r="D579">
        <v>0.86556156020378694</v>
      </c>
      <c r="E579" s="5">
        <f t="shared" si="26"/>
        <v>0.26801609466342402</v>
      </c>
      <c r="F579" s="5">
        <f t="shared" si="27"/>
        <v>0.37202414199513578</v>
      </c>
      <c r="G579">
        <f t="shared" si="28"/>
        <v>0</v>
      </c>
    </row>
    <row r="580" spans="4:7" x14ac:dyDescent="0.55000000000000004">
      <c r="D580">
        <v>-0.88022943600662984</v>
      </c>
      <c r="E580" s="5">
        <f t="shared" ref="E580:E643" si="29">$B$3+D580*$B$4</f>
        <v>-7.0863308914506956E-2</v>
      </c>
      <c r="F580" s="5">
        <f t="shared" ref="F580:F643" si="30">($B$2*(1+E580)-$B$5*(1+$B$6))/$B$7-1</f>
        <v>-0.13629496337176039</v>
      </c>
      <c r="G580">
        <f t="shared" ref="G580:G643" si="31">IF(F580&lt;E580,1,0)</f>
        <v>1</v>
      </c>
    </row>
    <row r="581" spans="4:7" x14ac:dyDescent="0.55000000000000004">
      <c r="D581">
        <v>0.83937720773974434</v>
      </c>
      <c r="E581" s="5">
        <f t="shared" si="29"/>
        <v>0.26293339131270765</v>
      </c>
      <c r="F581" s="5">
        <f t="shared" si="30"/>
        <v>0.36440008696906157</v>
      </c>
      <c r="G581">
        <f t="shared" si="31"/>
        <v>0</v>
      </c>
    </row>
    <row r="582" spans="4:7" x14ac:dyDescent="0.55000000000000004">
      <c r="D582">
        <v>-0.79357505455845967</v>
      </c>
      <c r="E582" s="5">
        <f t="shared" si="29"/>
        <v>-5.4042632690197295E-2</v>
      </c>
      <c r="F582" s="5">
        <f t="shared" si="30"/>
        <v>-0.11106394903529604</v>
      </c>
      <c r="G582">
        <f t="shared" si="31"/>
        <v>1</v>
      </c>
    </row>
    <row r="583" spans="4:7" x14ac:dyDescent="0.55000000000000004">
      <c r="D583">
        <v>-0.91328047346905805</v>
      </c>
      <c r="E583" s="5">
        <f t="shared" si="29"/>
        <v>-7.7278919882378838E-2</v>
      </c>
      <c r="F583" s="5">
        <f t="shared" si="30"/>
        <v>-0.14591837982356826</v>
      </c>
      <c r="G583">
        <f t="shared" si="31"/>
        <v>1</v>
      </c>
    </row>
    <row r="584" spans="4:7" x14ac:dyDescent="0.55000000000000004">
      <c r="D584">
        <v>-0.46253717300714925</v>
      </c>
      <c r="E584" s="5">
        <f t="shared" si="29"/>
        <v>1.0215872540567883E-2</v>
      </c>
      <c r="F584" s="5">
        <f t="shared" si="30"/>
        <v>-1.4676191189148091E-2</v>
      </c>
      <c r="G584">
        <f t="shared" si="31"/>
        <v>1</v>
      </c>
    </row>
    <row r="585" spans="4:7" x14ac:dyDescent="0.55000000000000004">
      <c r="D585">
        <v>-0.6484742698376067</v>
      </c>
      <c r="E585" s="5">
        <f t="shared" si="29"/>
        <v>-2.5876794115230889E-2</v>
      </c>
      <c r="F585" s="5">
        <f t="shared" si="30"/>
        <v>-6.8815191172846402E-2</v>
      </c>
      <c r="G585">
        <f t="shared" si="31"/>
        <v>1</v>
      </c>
    </row>
    <row r="586" spans="4:7" x14ac:dyDescent="0.55000000000000004">
      <c r="D586">
        <v>-0.22734639060217887</v>
      </c>
      <c r="E586" s="5">
        <f t="shared" si="29"/>
        <v>5.5869282508559867E-2</v>
      </c>
      <c r="F586" s="5">
        <f t="shared" si="30"/>
        <v>5.3803923762839823E-2</v>
      </c>
      <c r="G586">
        <f t="shared" si="31"/>
        <v>1</v>
      </c>
    </row>
    <row r="587" spans="4:7" x14ac:dyDescent="0.55000000000000004">
      <c r="D587">
        <v>-0.14103193279879633</v>
      </c>
      <c r="E587" s="5">
        <f t="shared" si="29"/>
        <v>7.2623975392218945E-2</v>
      </c>
      <c r="F587" s="5">
        <f t="shared" si="30"/>
        <v>7.8935963088328398E-2</v>
      </c>
      <c r="G587">
        <f t="shared" si="31"/>
        <v>0</v>
      </c>
    </row>
    <row r="588" spans="4:7" x14ac:dyDescent="0.55000000000000004">
      <c r="D588">
        <v>-0.65045696828747168</v>
      </c>
      <c r="E588" s="5">
        <f t="shared" si="29"/>
        <v>-2.6261660155681099E-2</v>
      </c>
      <c r="F588" s="5">
        <f t="shared" si="30"/>
        <v>-6.9392490233521675E-2</v>
      </c>
      <c r="G588">
        <f t="shared" si="31"/>
        <v>1</v>
      </c>
    </row>
    <row r="589" spans="4:7" x14ac:dyDescent="0.55000000000000004">
      <c r="D589">
        <v>-0.19316757970955223</v>
      </c>
      <c r="E589" s="5">
        <f t="shared" si="29"/>
        <v>6.2503808104944714E-2</v>
      </c>
      <c r="F589" s="5">
        <f t="shared" si="30"/>
        <v>6.3755712157417044E-2</v>
      </c>
      <c r="G589">
        <f t="shared" si="31"/>
        <v>0</v>
      </c>
    </row>
    <row r="590" spans="4:7" x14ac:dyDescent="0.55000000000000004">
      <c r="D590">
        <v>0.1157320639322279</v>
      </c>
      <c r="E590" s="5">
        <f t="shared" si="29"/>
        <v>0.12246501035079763</v>
      </c>
      <c r="F590" s="5">
        <f t="shared" si="30"/>
        <v>0.15369751552619637</v>
      </c>
      <c r="G590">
        <f t="shared" si="31"/>
        <v>0</v>
      </c>
    </row>
    <row r="591" spans="4:7" x14ac:dyDescent="0.55000000000000004">
      <c r="D591">
        <v>-1.0288658813806251E-2</v>
      </c>
      <c r="E591" s="5">
        <f t="shared" si="29"/>
        <v>9.8002845374957306E-2</v>
      </c>
      <c r="F591" s="5">
        <f t="shared" si="30"/>
        <v>0.11700426806243591</v>
      </c>
      <c r="G591">
        <f t="shared" si="31"/>
        <v>0</v>
      </c>
    </row>
    <row r="592" spans="4:7" x14ac:dyDescent="0.55000000000000004">
      <c r="D592">
        <v>0.41586190491216257</v>
      </c>
      <c r="E592" s="5">
        <f t="shared" si="29"/>
        <v>0.18072388654387939</v>
      </c>
      <c r="F592" s="5">
        <f t="shared" si="30"/>
        <v>0.24108582981581894</v>
      </c>
      <c r="G592">
        <f t="shared" si="31"/>
        <v>0</v>
      </c>
    </row>
    <row r="593" spans="4:7" x14ac:dyDescent="0.55000000000000004">
      <c r="D593">
        <v>0.57098304750979878</v>
      </c>
      <c r="E593" s="5">
        <f t="shared" si="29"/>
        <v>0.21083479924758902</v>
      </c>
      <c r="F593" s="5">
        <f t="shared" si="30"/>
        <v>0.28625219887138331</v>
      </c>
      <c r="G593">
        <f t="shared" si="31"/>
        <v>0</v>
      </c>
    </row>
    <row r="594" spans="4:7" x14ac:dyDescent="0.55000000000000004">
      <c r="D594">
        <v>0.28912609195685945</v>
      </c>
      <c r="E594" s="5">
        <f t="shared" si="29"/>
        <v>0.15612291380459686</v>
      </c>
      <c r="F594" s="5">
        <f t="shared" si="30"/>
        <v>0.2041843707068951</v>
      </c>
      <c r="G594">
        <f t="shared" si="31"/>
        <v>0</v>
      </c>
    </row>
    <row r="595" spans="4:7" x14ac:dyDescent="0.55000000000000004">
      <c r="D595">
        <v>-1.3321641745278612</v>
      </c>
      <c r="E595" s="5">
        <f t="shared" si="29"/>
        <v>-0.15858937404983431</v>
      </c>
      <c r="F595" s="5">
        <f t="shared" si="30"/>
        <v>-0.26788406107475149</v>
      </c>
      <c r="G595">
        <f t="shared" si="31"/>
        <v>1</v>
      </c>
    </row>
    <row r="596" spans="4:7" x14ac:dyDescent="0.55000000000000004">
      <c r="D596">
        <v>0.18872697182814591</v>
      </c>
      <c r="E596" s="5">
        <f t="shared" si="29"/>
        <v>0.13663421554528546</v>
      </c>
      <c r="F596" s="5">
        <f t="shared" si="30"/>
        <v>0.17495132331792851</v>
      </c>
      <c r="G596">
        <f t="shared" si="31"/>
        <v>0</v>
      </c>
    </row>
    <row r="597" spans="4:7" x14ac:dyDescent="0.55000000000000004">
      <c r="D597">
        <v>0.22161884771776386</v>
      </c>
      <c r="E597" s="5">
        <f t="shared" si="29"/>
        <v>0.14301893130348817</v>
      </c>
      <c r="F597" s="5">
        <f t="shared" si="30"/>
        <v>0.18452839695523227</v>
      </c>
      <c r="G597">
        <f t="shared" si="31"/>
        <v>0</v>
      </c>
    </row>
    <row r="598" spans="4:7" x14ac:dyDescent="0.55000000000000004">
      <c r="D598">
        <v>-2.0065181161044165</v>
      </c>
      <c r="E598" s="5">
        <f t="shared" si="29"/>
        <v>-0.28948972925727195</v>
      </c>
      <c r="F598" s="5">
        <f t="shared" si="30"/>
        <v>-0.46423459388590804</v>
      </c>
      <c r="G598">
        <f t="shared" si="31"/>
        <v>1</v>
      </c>
    </row>
    <row r="599" spans="4:7" x14ac:dyDescent="0.55000000000000004">
      <c r="D599">
        <v>-0.80663994594942778</v>
      </c>
      <c r="E599" s="5">
        <f t="shared" si="29"/>
        <v>-5.6578688043897901E-2</v>
      </c>
      <c r="F599" s="5">
        <f t="shared" si="30"/>
        <v>-0.11486803206584684</v>
      </c>
      <c r="G599">
        <f t="shared" si="31"/>
        <v>1</v>
      </c>
    </row>
    <row r="600" spans="4:7" x14ac:dyDescent="0.55000000000000004">
      <c r="D600">
        <v>1.5338582670665346</v>
      </c>
      <c r="E600" s="5">
        <f t="shared" si="29"/>
        <v>0.3977406664628807</v>
      </c>
      <c r="F600" s="5">
        <f t="shared" si="30"/>
        <v>0.56661099969432116</v>
      </c>
      <c r="G600">
        <f t="shared" si="31"/>
        <v>0</v>
      </c>
    </row>
    <row r="601" spans="4:7" x14ac:dyDescent="0.55000000000000004">
      <c r="D601">
        <v>-1.3452836356009357</v>
      </c>
      <c r="E601" s="5">
        <f t="shared" si="29"/>
        <v>-0.16113602204685007</v>
      </c>
      <c r="F601" s="5">
        <f t="shared" si="30"/>
        <v>-0.27170403307027513</v>
      </c>
      <c r="G601">
        <f t="shared" si="31"/>
        <v>1</v>
      </c>
    </row>
    <row r="602" spans="4:7" x14ac:dyDescent="0.55000000000000004">
      <c r="D602">
        <v>4.2355168261565268E-2</v>
      </c>
      <c r="E602" s="5">
        <f t="shared" si="29"/>
        <v>0.10822165665310382</v>
      </c>
      <c r="F602" s="5">
        <f t="shared" si="30"/>
        <v>0.13233248497965588</v>
      </c>
      <c r="G602">
        <f t="shared" si="31"/>
        <v>0</v>
      </c>
    </row>
    <row r="603" spans="4:7" x14ac:dyDescent="0.55000000000000004">
      <c r="D603">
        <v>-0.18592459127830807</v>
      </c>
      <c r="E603" s="5">
        <f t="shared" si="29"/>
        <v>6.3909760824960943E-2</v>
      </c>
      <c r="F603" s="5">
        <f t="shared" si="30"/>
        <v>6.5864641237441512E-2</v>
      </c>
      <c r="G603">
        <f t="shared" si="31"/>
        <v>0</v>
      </c>
    </row>
    <row r="604" spans="4:7" x14ac:dyDescent="0.55000000000000004">
      <c r="D604">
        <v>-1.2955365491507109</v>
      </c>
      <c r="E604" s="5">
        <f t="shared" si="29"/>
        <v>-0.15147950358468243</v>
      </c>
      <c r="F604" s="5">
        <f t="shared" si="30"/>
        <v>-0.25721925537702373</v>
      </c>
      <c r="G604">
        <f t="shared" si="31"/>
        <v>1</v>
      </c>
    </row>
    <row r="605" spans="4:7" x14ac:dyDescent="0.55000000000000004">
      <c r="D605">
        <v>-0.1077262368198717</v>
      </c>
      <c r="E605" s="5">
        <f t="shared" si="29"/>
        <v>7.9089018695561494E-2</v>
      </c>
      <c r="F605" s="5">
        <f t="shared" si="30"/>
        <v>8.8633528043342347E-2</v>
      </c>
      <c r="G605">
        <f t="shared" si="31"/>
        <v>0</v>
      </c>
    </row>
    <row r="606" spans="4:7" x14ac:dyDescent="0.55000000000000004">
      <c r="D606">
        <v>-1.7205638869199902</v>
      </c>
      <c r="E606" s="5">
        <f t="shared" si="29"/>
        <v>-0.23398251284536775</v>
      </c>
      <c r="F606" s="5">
        <f t="shared" si="30"/>
        <v>-0.3809737692680516</v>
      </c>
      <c r="G606">
        <f t="shared" si="31"/>
        <v>1</v>
      </c>
    </row>
    <row r="607" spans="4:7" x14ac:dyDescent="0.55000000000000004">
      <c r="D607">
        <v>-0.15263140085153282</v>
      </c>
      <c r="E607" s="5">
        <f t="shared" si="29"/>
        <v>7.0372376647543769E-2</v>
      </c>
      <c r="F607" s="5">
        <f t="shared" si="30"/>
        <v>7.5558564971315523E-2</v>
      </c>
      <c r="G607">
        <f t="shared" si="31"/>
        <v>0</v>
      </c>
    </row>
    <row r="608" spans="4:7" x14ac:dyDescent="0.55000000000000004">
      <c r="D608">
        <v>1.0419535101391375</v>
      </c>
      <c r="E608" s="5">
        <f t="shared" si="29"/>
        <v>0.30225593145934893</v>
      </c>
      <c r="F608" s="5">
        <f t="shared" si="30"/>
        <v>0.42338389718902336</v>
      </c>
      <c r="G608">
        <f t="shared" si="31"/>
        <v>0</v>
      </c>
    </row>
    <row r="609" spans="4:7" x14ac:dyDescent="0.55000000000000004">
      <c r="D609">
        <v>-1.1567294677661266</v>
      </c>
      <c r="E609" s="5">
        <f t="shared" si="29"/>
        <v>-0.12453534987206252</v>
      </c>
      <c r="F609" s="5">
        <f t="shared" si="30"/>
        <v>-0.21680302480809366</v>
      </c>
      <c r="G609">
        <f t="shared" si="31"/>
        <v>1</v>
      </c>
    </row>
    <row r="610" spans="4:7" x14ac:dyDescent="0.55000000000000004">
      <c r="D610">
        <v>-0.41244447857025079</v>
      </c>
      <c r="E610" s="5">
        <f t="shared" si="29"/>
        <v>1.9939477743731435E-2</v>
      </c>
      <c r="F610" s="5">
        <f t="shared" si="30"/>
        <v>-9.0783384402826073E-5</v>
      </c>
      <c r="G610">
        <f t="shared" si="31"/>
        <v>1</v>
      </c>
    </row>
    <row r="611" spans="4:7" x14ac:dyDescent="0.55000000000000004">
      <c r="D611">
        <v>-0.21261257643345743</v>
      </c>
      <c r="E611" s="5">
        <f t="shared" si="29"/>
        <v>5.8729296203648591E-2</v>
      </c>
      <c r="F611" s="5">
        <f t="shared" si="30"/>
        <v>5.8093944305472656E-2</v>
      </c>
      <c r="G611">
        <f t="shared" si="31"/>
        <v>1</v>
      </c>
    </row>
    <row r="612" spans="4:7" x14ac:dyDescent="0.55000000000000004">
      <c r="D612">
        <v>-1.7844922695076093</v>
      </c>
      <c r="E612" s="5">
        <f t="shared" si="29"/>
        <v>-0.24639179448905835</v>
      </c>
      <c r="F612" s="5">
        <f t="shared" si="30"/>
        <v>-0.39958769173358755</v>
      </c>
      <c r="G612">
        <f t="shared" si="31"/>
        <v>1</v>
      </c>
    </row>
    <row r="613" spans="4:7" x14ac:dyDescent="0.55000000000000004">
      <c r="D613">
        <v>-1.5719160728622228</v>
      </c>
      <c r="E613" s="5">
        <f t="shared" si="29"/>
        <v>-0.20512815245491706</v>
      </c>
      <c r="F613" s="5">
        <f t="shared" si="30"/>
        <v>-0.33769222868237581</v>
      </c>
      <c r="G613">
        <f t="shared" si="31"/>
        <v>1</v>
      </c>
    </row>
    <row r="614" spans="4:7" x14ac:dyDescent="0.55000000000000004">
      <c r="D614">
        <v>0.11912106856470928</v>
      </c>
      <c r="E614" s="5">
        <f t="shared" si="29"/>
        <v>0.12312285763668185</v>
      </c>
      <c r="F614" s="5">
        <f t="shared" si="30"/>
        <v>0.15468428645502286</v>
      </c>
      <c r="G614">
        <f t="shared" si="31"/>
        <v>0</v>
      </c>
    </row>
    <row r="615" spans="4:7" x14ac:dyDescent="0.55000000000000004">
      <c r="D615">
        <v>-0.51320739657967351</v>
      </c>
      <c r="E615" s="5">
        <f t="shared" si="29"/>
        <v>3.8016186231906723E-4</v>
      </c>
      <c r="F615" s="5">
        <f t="shared" si="30"/>
        <v>-2.942975720652119E-2</v>
      </c>
      <c r="G615">
        <f t="shared" si="31"/>
        <v>1</v>
      </c>
    </row>
    <row r="616" spans="4:7" x14ac:dyDescent="0.55000000000000004">
      <c r="D616">
        <v>-0.77495201367128175</v>
      </c>
      <c r="E616" s="5">
        <f t="shared" si="29"/>
        <v>-5.0427672478835533E-2</v>
      </c>
      <c r="F616" s="5">
        <f t="shared" si="30"/>
        <v>-0.10564150871825329</v>
      </c>
      <c r="G616">
        <f t="shared" si="31"/>
        <v>1</v>
      </c>
    </row>
    <row r="617" spans="4:7" x14ac:dyDescent="0.55000000000000004">
      <c r="D617">
        <v>1.003872966975905</v>
      </c>
      <c r="E617" s="5">
        <f t="shared" si="29"/>
        <v>0.2948640318659313</v>
      </c>
      <c r="F617" s="5">
        <f t="shared" si="30"/>
        <v>0.41229604779889661</v>
      </c>
      <c r="G617">
        <f t="shared" si="31"/>
        <v>0</v>
      </c>
    </row>
    <row r="618" spans="4:7" x14ac:dyDescent="0.55000000000000004">
      <c r="D618">
        <v>0.24370592655031942</v>
      </c>
      <c r="E618" s="5">
        <f t="shared" si="29"/>
        <v>0.14730630368529246</v>
      </c>
      <c r="F618" s="5">
        <f t="shared" si="30"/>
        <v>0.19095945552793858</v>
      </c>
      <c r="G618">
        <f t="shared" si="31"/>
        <v>0</v>
      </c>
    </row>
    <row r="619" spans="4:7" x14ac:dyDescent="0.55000000000000004">
      <c r="D619">
        <v>0.75415073297335766</v>
      </c>
      <c r="E619" s="5">
        <f t="shared" si="29"/>
        <v>0.24638988925514424</v>
      </c>
      <c r="F619" s="5">
        <f t="shared" si="30"/>
        <v>0.33958483388271632</v>
      </c>
      <c r="G619">
        <f t="shared" si="31"/>
        <v>0</v>
      </c>
    </row>
    <row r="620" spans="4:7" x14ac:dyDescent="0.55000000000000004">
      <c r="D620">
        <v>-2.9265265766298398E-2</v>
      </c>
      <c r="E620" s="5">
        <f t="shared" si="29"/>
        <v>9.4319253662116173E-2</v>
      </c>
      <c r="F620" s="5">
        <f t="shared" si="30"/>
        <v>0.11147888049317434</v>
      </c>
      <c r="G620">
        <f t="shared" si="31"/>
        <v>0</v>
      </c>
    </row>
    <row r="621" spans="4:7" x14ac:dyDescent="0.55000000000000004">
      <c r="D621">
        <v>-0.27567239158088341</v>
      </c>
      <c r="E621" s="5">
        <f t="shared" si="29"/>
        <v>4.6488614132724086E-2</v>
      </c>
      <c r="F621" s="5">
        <f t="shared" si="30"/>
        <v>3.9732921199086224E-2</v>
      </c>
      <c r="G621">
        <f t="shared" si="31"/>
        <v>1</v>
      </c>
    </row>
    <row r="622" spans="4:7" x14ac:dyDescent="0.55000000000000004">
      <c r="D622">
        <v>0.46194145397748798</v>
      </c>
      <c r="E622" s="5">
        <f t="shared" si="29"/>
        <v>0.18966849110324174</v>
      </c>
      <c r="F622" s="5">
        <f t="shared" si="30"/>
        <v>0.25450273665486267</v>
      </c>
      <c r="G622">
        <f t="shared" si="31"/>
        <v>0</v>
      </c>
    </row>
    <row r="623" spans="4:7" x14ac:dyDescent="0.55000000000000004">
      <c r="D623">
        <v>1.6065314412117004</v>
      </c>
      <c r="E623" s="5">
        <f t="shared" si="29"/>
        <v>0.41184741919782297</v>
      </c>
      <c r="F623" s="5">
        <f t="shared" si="30"/>
        <v>0.58777112879673443</v>
      </c>
      <c r="G623">
        <f t="shared" si="31"/>
        <v>0</v>
      </c>
    </row>
    <row r="624" spans="4:7" x14ac:dyDescent="0.55000000000000004">
      <c r="D624">
        <v>1.3726366887567565</v>
      </c>
      <c r="E624" s="5">
        <f t="shared" si="29"/>
        <v>0.36644558450856568</v>
      </c>
      <c r="F624" s="5">
        <f t="shared" si="30"/>
        <v>0.51966837676284849</v>
      </c>
      <c r="G624">
        <f t="shared" si="31"/>
        <v>0</v>
      </c>
    </row>
    <row r="625" spans="4:7" x14ac:dyDescent="0.55000000000000004">
      <c r="D625">
        <v>0.58626824284147006</v>
      </c>
      <c r="E625" s="5">
        <f t="shared" si="29"/>
        <v>0.21380184277617451</v>
      </c>
      <c r="F625" s="5">
        <f t="shared" si="30"/>
        <v>0.29070276416426166</v>
      </c>
      <c r="G625">
        <f t="shared" si="31"/>
        <v>0</v>
      </c>
    </row>
    <row r="626" spans="4:7" x14ac:dyDescent="0.55000000000000004">
      <c r="D626">
        <v>0.16115109247039072</v>
      </c>
      <c r="E626" s="5">
        <f t="shared" si="29"/>
        <v>0.13128139979003295</v>
      </c>
      <c r="F626" s="5">
        <f t="shared" si="30"/>
        <v>0.16692209968504979</v>
      </c>
      <c r="G626">
        <f t="shared" si="31"/>
        <v>0</v>
      </c>
    </row>
    <row r="627" spans="4:7" x14ac:dyDescent="0.55000000000000004">
      <c r="D627">
        <v>0.11657903087325394</v>
      </c>
      <c r="E627" s="5">
        <f t="shared" si="29"/>
        <v>0.12262941700225143</v>
      </c>
      <c r="F627" s="5">
        <f t="shared" si="30"/>
        <v>0.15394412550337733</v>
      </c>
      <c r="G627">
        <f t="shared" si="31"/>
        <v>0</v>
      </c>
    </row>
    <row r="628" spans="4:7" x14ac:dyDescent="0.55000000000000004">
      <c r="D628">
        <v>0.47637286115786992</v>
      </c>
      <c r="E628" s="5">
        <f t="shared" si="29"/>
        <v>0.19246980389995907</v>
      </c>
      <c r="F628" s="5">
        <f t="shared" si="30"/>
        <v>0.25870470584993854</v>
      </c>
      <c r="G628">
        <f t="shared" si="31"/>
        <v>0</v>
      </c>
    </row>
    <row r="629" spans="4:7" x14ac:dyDescent="0.55000000000000004">
      <c r="D629">
        <v>0.44371745389071293</v>
      </c>
      <c r="E629" s="5">
        <f t="shared" si="29"/>
        <v>0.18613098959612198</v>
      </c>
      <c r="F629" s="5">
        <f t="shared" si="30"/>
        <v>0.24919648439418296</v>
      </c>
      <c r="G629">
        <f t="shared" si="31"/>
        <v>0</v>
      </c>
    </row>
    <row r="630" spans="4:7" x14ac:dyDescent="0.55000000000000004">
      <c r="D630">
        <v>-1.5413434084621258</v>
      </c>
      <c r="E630" s="5">
        <f t="shared" si="29"/>
        <v>-0.19919362403760793</v>
      </c>
      <c r="F630" s="5">
        <f t="shared" si="30"/>
        <v>-0.32879043605641201</v>
      </c>
      <c r="G630">
        <f t="shared" si="31"/>
        <v>1</v>
      </c>
    </row>
    <row r="631" spans="4:7" x14ac:dyDescent="0.55000000000000004">
      <c r="D631">
        <v>0.45310798668651842</v>
      </c>
      <c r="E631" s="5">
        <f t="shared" si="29"/>
        <v>0.18795380696660291</v>
      </c>
      <c r="F631" s="5">
        <f t="shared" si="30"/>
        <v>0.25193071044990423</v>
      </c>
      <c r="G631">
        <f t="shared" si="31"/>
        <v>0</v>
      </c>
    </row>
    <row r="632" spans="4:7" x14ac:dyDescent="0.55000000000000004">
      <c r="D632">
        <v>-0.1602984411874786</v>
      </c>
      <c r="E632" s="5">
        <f t="shared" si="29"/>
        <v>6.8884110261766107E-2</v>
      </c>
      <c r="F632" s="5">
        <f t="shared" si="30"/>
        <v>7.3326165392649134E-2</v>
      </c>
      <c r="G632">
        <f t="shared" si="31"/>
        <v>0</v>
      </c>
    </row>
    <row r="633" spans="4:7" x14ac:dyDescent="0.55000000000000004">
      <c r="D633">
        <v>2.3506981960963458</v>
      </c>
      <c r="E633" s="5">
        <f t="shared" si="29"/>
        <v>0.55629929608643414</v>
      </c>
      <c r="F633" s="5">
        <f t="shared" si="30"/>
        <v>0.80444894412965118</v>
      </c>
      <c r="G633">
        <f t="shared" si="31"/>
        <v>0</v>
      </c>
    </row>
    <row r="634" spans="4:7" x14ac:dyDescent="0.55000000000000004">
      <c r="D634">
        <v>-0.29351667762966827</v>
      </c>
      <c r="E634" s="5">
        <f t="shared" si="29"/>
        <v>4.3024819768672173E-2</v>
      </c>
      <c r="F634" s="5">
        <f t="shared" si="30"/>
        <v>3.4537229653008428E-2</v>
      </c>
      <c r="G634">
        <f t="shared" si="31"/>
        <v>1</v>
      </c>
    </row>
    <row r="635" spans="4:7" x14ac:dyDescent="0.55000000000000004">
      <c r="D635">
        <v>0.88214619609061629</v>
      </c>
      <c r="E635" s="5">
        <f t="shared" si="29"/>
        <v>0.27123537551095134</v>
      </c>
      <c r="F635" s="5">
        <f t="shared" si="30"/>
        <v>0.37685306326642709</v>
      </c>
      <c r="G635">
        <f t="shared" si="31"/>
        <v>0</v>
      </c>
    </row>
    <row r="636" spans="4:7" x14ac:dyDescent="0.55000000000000004">
      <c r="D636">
        <v>1.1250517673033755</v>
      </c>
      <c r="E636" s="5">
        <f t="shared" si="29"/>
        <v>0.31838632042762172</v>
      </c>
      <c r="F636" s="5">
        <f t="shared" si="30"/>
        <v>0.44757948064143238</v>
      </c>
      <c r="G636">
        <f t="shared" si="31"/>
        <v>0</v>
      </c>
    </row>
    <row r="637" spans="4:7" x14ac:dyDescent="0.55000000000000004">
      <c r="D637">
        <v>0.49107825361716095</v>
      </c>
      <c r="E637" s="5">
        <f t="shared" si="29"/>
        <v>0.19532430059332118</v>
      </c>
      <c r="F637" s="5">
        <f t="shared" si="30"/>
        <v>0.26298645088998174</v>
      </c>
      <c r="G637">
        <f t="shared" si="31"/>
        <v>0</v>
      </c>
    </row>
    <row r="638" spans="4:7" x14ac:dyDescent="0.55000000000000004">
      <c r="D638">
        <v>0.58844989325734787</v>
      </c>
      <c r="E638" s="5">
        <f t="shared" si="29"/>
        <v>0.21422532782871118</v>
      </c>
      <c r="F638" s="5">
        <f t="shared" si="30"/>
        <v>0.29133799174306652</v>
      </c>
      <c r="G638">
        <f t="shared" si="31"/>
        <v>0</v>
      </c>
    </row>
    <row r="639" spans="4:7" x14ac:dyDescent="0.55000000000000004">
      <c r="D639">
        <v>-0.71725025918567553</v>
      </c>
      <c r="E639" s="5">
        <f t="shared" si="29"/>
        <v>-3.9227055573416658E-2</v>
      </c>
      <c r="F639" s="5">
        <f t="shared" si="30"/>
        <v>-8.8840583360124903E-2</v>
      </c>
      <c r="G639">
        <f t="shared" si="31"/>
        <v>1</v>
      </c>
    </row>
    <row r="640" spans="4:7" x14ac:dyDescent="0.55000000000000004">
      <c r="D640">
        <v>-1.3073122318019159</v>
      </c>
      <c r="E640" s="5">
        <f t="shared" si="29"/>
        <v>-0.15376530774006275</v>
      </c>
      <c r="F640" s="5">
        <f t="shared" si="30"/>
        <v>-0.26064796161009396</v>
      </c>
      <c r="G640">
        <f t="shared" si="31"/>
        <v>1</v>
      </c>
    </row>
    <row r="641" spans="4:7" x14ac:dyDescent="0.55000000000000004">
      <c r="D641">
        <v>-1.5489149518543854</v>
      </c>
      <c r="E641" s="5">
        <f t="shared" si="29"/>
        <v>-0.20066335329758406</v>
      </c>
      <c r="F641" s="5">
        <f t="shared" si="30"/>
        <v>-0.3309950299463762</v>
      </c>
      <c r="G641">
        <f t="shared" si="31"/>
        <v>1</v>
      </c>
    </row>
    <row r="642" spans="4:7" x14ac:dyDescent="0.55000000000000004">
      <c r="D642">
        <v>0.78845005191396922</v>
      </c>
      <c r="E642" s="5">
        <f t="shared" si="29"/>
        <v>0.25304780693885004</v>
      </c>
      <c r="F642" s="5">
        <f t="shared" si="30"/>
        <v>0.34957171040827495</v>
      </c>
      <c r="G642">
        <f t="shared" si="31"/>
        <v>0</v>
      </c>
    </row>
    <row r="643" spans="4:7" x14ac:dyDescent="0.55000000000000004">
      <c r="D643">
        <v>4.3120280679431744E-2</v>
      </c>
      <c r="E643" s="5">
        <f t="shared" si="29"/>
        <v>0.10837017433958489</v>
      </c>
      <c r="F643" s="5">
        <f t="shared" si="30"/>
        <v>0.13255526150937724</v>
      </c>
      <c r="G643">
        <f t="shared" si="31"/>
        <v>0</v>
      </c>
    </row>
    <row r="644" spans="4:7" x14ac:dyDescent="0.55000000000000004">
      <c r="D644">
        <v>0.90253706730436534</v>
      </c>
      <c r="E644" s="5">
        <f t="shared" ref="E644:E707" si="32">$B$3+D644*$B$4</f>
        <v>0.27519349322970993</v>
      </c>
      <c r="F644" s="5">
        <f t="shared" ref="F644:F707" si="33">($B$2*(1+E644)-$B$5*(1+$B$6))/$B$7-1</f>
        <v>0.38279023984456506</v>
      </c>
      <c r="G644">
        <f t="shared" ref="G644:G707" si="34">IF(F644&lt;E644,1,0)</f>
        <v>0</v>
      </c>
    </row>
    <row r="645" spans="4:7" x14ac:dyDescent="0.55000000000000004">
      <c r="D645">
        <v>-0.53267740440787748</v>
      </c>
      <c r="E645" s="5">
        <f t="shared" si="32"/>
        <v>-3.3992050004964941E-3</v>
      </c>
      <c r="F645" s="5">
        <f t="shared" si="33"/>
        <v>-3.5098807500744789E-2</v>
      </c>
      <c r="G645">
        <f t="shared" si="34"/>
        <v>1</v>
      </c>
    </row>
    <row r="646" spans="4:7" x14ac:dyDescent="0.55000000000000004">
      <c r="D646">
        <v>0.28832914722443093</v>
      </c>
      <c r="E646" s="5">
        <f t="shared" si="32"/>
        <v>0.15596821707618197</v>
      </c>
      <c r="F646" s="5">
        <f t="shared" si="33"/>
        <v>0.20395232561427301</v>
      </c>
      <c r="G646">
        <f t="shared" si="34"/>
        <v>0</v>
      </c>
    </row>
    <row r="647" spans="4:7" x14ac:dyDescent="0.55000000000000004">
      <c r="D647">
        <v>-0.81109646998811513</v>
      </c>
      <c r="E647" s="5">
        <f t="shared" si="32"/>
        <v>-5.7443753914634604E-2</v>
      </c>
      <c r="F647" s="5">
        <f t="shared" si="33"/>
        <v>-0.11616563087195186</v>
      </c>
      <c r="G647">
        <f t="shared" si="34"/>
        <v>1</v>
      </c>
    </row>
    <row r="648" spans="4:7" x14ac:dyDescent="0.55000000000000004">
      <c r="D648">
        <v>0.98121518021798693</v>
      </c>
      <c r="E648" s="5">
        <f t="shared" si="32"/>
        <v>0.29046587808945612</v>
      </c>
      <c r="F648" s="5">
        <f t="shared" si="33"/>
        <v>0.40569881713418399</v>
      </c>
      <c r="G648">
        <f t="shared" si="34"/>
        <v>0</v>
      </c>
    </row>
    <row r="649" spans="4:7" x14ac:dyDescent="0.55000000000000004">
      <c r="D649">
        <v>-1.460439307265915</v>
      </c>
      <c r="E649" s="5">
        <f t="shared" si="32"/>
        <v>-0.18348914760263152</v>
      </c>
      <c r="F649" s="5">
        <f t="shared" si="33"/>
        <v>-0.30523372140394711</v>
      </c>
      <c r="G649">
        <f t="shared" si="34"/>
        <v>1</v>
      </c>
    </row>
    <row r="650" spans="4:7" x14ac:dyDescent="0.55000000000000004">
      <c r="D650">
        <v>-0.18966147763421759</v>
      </c>
      <c r="E650" s="5">
        <f t="shared" si="32"/>
        <v>6.3184385437942678E-2</v>
      </c>
      <c r="F650" s="5">
        <f t="shared" si="33"/>
        <v>6.4776578156913844E-2</v>
      </c>
      <c r="G650">
        <f t="shared" si="34"/>
        <v>0</v>
      </c>
    </row>
    <row r="651" spans="4:7" x14ac:dyDescent="0.55000000000000004">
      <c r="D651">
        <v>-0.15572823031106964</v>
      </c>
      <c r="E651" s="5">
        <f t="shared" si="32"/>
        <v>6.9771244139409369E-2</v>
      </c>
      <c r="F651" s="5">
        <f t="shared" si="33"/>
        <v>7.4656866209114048E-2</v>
      </c>
      <c r="G651">
        <f t="shared" si="34"/>
        <v>0</v>
      </c>
    </row>
    <row r="652" spans="4:7" x14ac:dyDescent="0.55000000000000004">
      <c r="D652">
        <v>1.5651085050194524</v>
      </c>
      <c r="E652" s="5">
        <f t="shared" si="32"/>
        <v>0.40380672020135283</v>
      </c>
      <c r="F652" s="5">
        <f t="shared" si="33"/>
        <v>0.57571008030202941</v>
      </c>
      <c r="G652">
        <f t="shared" si="34"/>
        <v>0</v>
      </c>
    </row>
    <row r="653" spans="4:7" x14ac:dyDescent="0.55000000000000004">
      <c r="D653">
        <v>-1.8719038052950054</v>
      </c>
      <c r="E653" s="5">
        <f t="shared" si="32"/>
        <v>-0.26335944363936559</v>
      </c>
      <c r="F653" s="5">
        <f t="shared" si="33"/>
        <v>-0.4250391654590483</v>
      </c>
      <c r="G653">
        <f t="shared" si="34"/>
        <v>1</v>
      </c>
    </row>
    <row r="654" spans="4:7" x14ac:dyDescent="0.55000000000000004">
      <c r="D654">
        <v>0.78054199548205361</v>
      </c>
      <c r="E654" s="5">
        <f t="shared" si="32"/>
        <v>0.25151275637843051</v>
      </c>
      <c r="F654" s="5">
        <f t="shared" si="33"/>
        <v>0.34726913456764552</v>
      </c>
      <c r="G654">
        <f t="shared" si="34"/>
        <v>0</v>
      </c>
    </row>
    <row r="655" spans="4:7" x14ac:dyDescent="0.55000000000000004">
      <c r="D655">
        <v>4.7484718379564583E-2</v>
      </c>
      <c r="E655" s="5">
        <f t="shared" si="32"/>
        <v>0.10921736512472729</v>
      </c>
      <c r="F655" s="5">
        <f t="shared" si="33"/>
        <v>0.13382604768709094</v>
      </c>
      <c r="G655">
        <f t="shared" si="34"/>
        <v>0</v>
      </c>
    </row>
    <row r="656" spans="4:7" x14ac:dyDescent="0.55000000000000004">
      <c r="D656">
        <v>0.45870933718106244</v>
      </c>
      <c r="E656" s="5">
        <f t="shared" si="32"/>
        <v>0.18904109766688859</v>
      </c>
      <c r="F656" s="5">
        <f t="shared" si="33"/>
        <v>0.25356164650033275</v>
      </c>
      <c r="G656">
        <f t="shared" si="34"/>
        <v>0</v>
      </c>
    </row>
    <row r="657" spans="4:7" x14ac:dyDescent="0.55000000000000004">
      <c r="D657">
        <v>0.18086780073645059</v>
      </c>
      <c r="E657" s="5">
        <f t="shared" si="32"/>
        <v>0.13510865422783574</v>
      </c>
      <c r="F657" s="5">
        <f t="shared" si="33"/>
        <v>0.17266298134175351</v>
      </c>
      <c r="G657">
        <f t="shared" si="34"/>
        <v>0</v>
      </c>
    </row>
    <row r="658" spans="4:7" x14ac:dyDescent="0.55000000000000004">
      <c r="D658">
        <v>1.128951225837227</v>
      </c>
      <c r="E658" s="5">
        <f t="shared" si="32"/>
        <v>0.31914325306451635</v>
      </c>
      <c r="F658" s="5">
        <f t="shared" si="33"/>
        <v>0.44871487959677481</v>
      </c>
      <c r="G658">
        <f t="shared" si="34"/>
        <v>0</v>
      </c>
    </row>
    <row r="659" spans="4:7" x14ac:dyDescent="0.55000000000000004">
      <c r="D659">
        <v>-0.65908352553378791</v>
      </c>
      <c r="E659" s="5">
        <f t="shared" si="32"/>
        <v>-2.7936180519750026E-2</v>
      </c>
      <c r="F659" s="5">
        <f t="shared" si="33"/>
        <v>-7.1904270779625024E-2</v>
      </c>
      <c r="G659">
        <f t="shared" si="34"/>
        <v>1</v>
      </c>
    </row>
    <row r="660" spans="4:7" x14ac:dyDescent="0.55000000000000004">
      <c r="D660">
        <v>-1.5225441529764794</v>
      </c>
      <c r="E660" s="5">
        <f t="shared" si="32"/>
        <v>-0.19554445841554102</v>
      </c>
      <c r="F660" s="5">
        <f t="shared" si="33"/>
        <v>-0.32331668762331156</v>
      </c>
      <c r="G660">
        <f t="shared" si="34"/>
        <v>1</v>
      </c>
    </row>
    <row r="661" spans="4:7" x14ac:dyDescent="0.55000000000000004">
      <c r="D661">
        <v>0.98518285085447133</v>
      </c>
      <c r="E661" s="5">
        <f t="shared" si="32"/>
        <v>0.2912360515304947</v>
      </c>
      <c r="F661" s="5">
        <f t="shared" si="33"/>
        <v>0.40685407729574186</v>
      </c>
      <c r="G661">
        <f t="shared" si="34"/>
        <v>0</v>
      </c>
    </row>
    <row r="662" spans="4:7" x14ac:dyDescent="0.55000000000000004">
      <c r="D662">
        <v>-1.0293979357811622</v>
      </c>
      <c r="E662" s="5">
        <f t="shared" si="32"/>
        <v>-9.9818740776589698E-2</v>
      </c>
      <c r="F662" s="5">
        <f t="shared" si="33"/>
        <v>-0.17972811116488452</v>
      </c>
      <c r="G662">
        <f t="shared" si="34"/>
        <v>1</v>
      </c>
    </row>
    <row r="663" spans="4:7" x14ac:dyDescent="0.55000000000000004">
      <c r="D663">
        <v>-1.3373846741160378</v>
      </c>
      <c r="E663" s="5">
        <f t="shared" si="32"/>
        <v>-0.15960273692698301</v>
      </c>
      <c r="F663" s="5">
        <f t="shared" si="33"/>
        <v>-0.26940410539047444</v>
      </c>
      <c r="G663">
        <f t="shared" si="34"/>
        <v>1</v>
      </c>
    </row>
    <row r="664" spans="4:7" x14ac:dyDescent="0.55000000000000004">
      <c r="D664">
        <v>0.74473064159974456</v>
      </c>
      <c r="E664" s="5">
        <f t="shared" si="32"/>
        <v>0.2445613342028676</v>
      </c>
      <c r="F664" s="5">
        <f t="shared" si="33"/>
        <v>0.33684200130430142</v>
      </c>
      <c r="G664">
        <f t="shared" si="34"/>
        <v>0</v>
      </c>
    </row>
    <row r="665" spans="4:7" x14ac:dyDescent="0.55000000000000004">
      <c r="D665">
        <v>-0.48487436288269237</v>
      </c>
      <c r="E665" s="5">
        <f t="shared" si="32"/>
        <v>5.8799505435691707E-3</v>
      </c>
      <c r="F665" s="5">
        <f t="shared" si="33"/>
        <v>-2.118007418464618E-2</v>
      </c>
      <c r="G665">
        <f t="shared" si="34"/>
        <v>1</v>
      </c>
    </row>
    <row r="666" spans="4:7" x14ac:dyDescent="0.55000000000000004">
      <c r="D666">
        <v>-0.87225657807721291</v>
      </c>
      <c r="E666" s="5">
        <f t="shared" si="32"/>
        <v>-6.9315679590150697E-2</v>
      </c>
      <c r="F666" s="5">
        <f t="shared" si="33"/>
        <v>-0.13397351938522606</v>
      </c>
      <c r="G666">
        <f t="shared" si="34"/>
        <v>1</v>
      </c>
    </row>
    <row r="667" spans="4:7" x14ac:dyDescent="0.55000000000000004">
      <c r="D667">
        <v>0.71566773840459064</v>
      </c>
      <c r="E667" s="5">
        <f t="shared" si="32"/>
        <v>0.23891986891727746</v>
      </c>
      <c r="F667" s="5">
        <f t="shared" si="33"/>
        <v>0.32837980337591621</v>
      </c>
      <c r="G667">
        <f t="shared" si="34"/>
        <v>0</v>
      </c>
    </row>
    <row r="668" spans="4:7" x14ac:dyDescent="0.55000000000000004">
      <c r="D668">
        <v>0.79630353866377845</v>
      </c>
      <c r="E668" s="5">
        <f t="shared" si="32"/>
        <v>0.25457226485595441</v>
      </c>
      <c r="F668" s="5">
        <f t="shared" si="33"/>
        <v>0.35185839728393176</v>
      </c>
      <c r="G668">
        <f t="shared" si="34"/>
        <v>0</v>
      </c>
    </row>
    <row r="669" spans="4:7" x14ac:dyDescent="0.55000000000000004">
      <c r="D669">
        <v>1.614644133951515</v>
      </c>
      <c r="E669" s="5">
        <f t="shared" si="32"/>
        <v>0.41342219217067433</v>
      </c>
      <c r="F669" s="5">
        <f t="shared" si="33"/>
        <v>0.5901332882560113</v>
      </c>
      <c r="G669">
        <f t="shared" si="34"/>
        <v>0</v>
      </c>
    </row>
    <row r="670" spans="4:7" x14ac:dyDescent="0.55000000000000004">
      <c r="D670">
        <v>1.4798251868342049</v>
      </c>
      <c r="E670" s="5">
        <f t="shared" si="32"/>
        <v>0.38725218414033619</v>
      </c>
      <c r="F670" s="5">
        <f t="shared" si="33"/>
        <v>0.55087827621050423</v>
      </c>
      <c r="G670">
        <f t="shared" si="34"/>
        <v>0</v>
      </c>
    </row>
    <row r="671" spans="4:7" x14ac:dyDescent="0.55000000000000004">
      <c r="D671">
        <v>0.28346789804345462</v>
      </c>
      <c r="E671" s="5">
        <f t="shared" si="32"/>
        <v>0.15502458910085792</v>
      </c>
      <c r="F671" s="5">
        <f t="shared" si="33"/>
        <v>0.20253688365128686</v>
      </c>
      <c r="G671">
        <f t="shared" si="34"/>
        <v>0</v>
      </c>
    </row>
    <row r="672" spans="4:7" x14ac:dyDescent="0.55000000000000004">
      <c r="D672">
        <v>-1.2339251043158583</v>
      </c>
      <c r="E672" s="5">
        <f t="shared" si="32"/>
        <v>-0.13951996792174731</v>
      </c>
      <c r="F672" s="5">
        <f t="shared" si="33"/>
        <v>-0.23927995188262108</v>
      </c>
      <c r="G672">
        <f t="shared" si="34"/>
        <v>1</v>
      </c>
    </row>
    <row r="673" spans="4:7" x14ac:dyDescent="0.55000000000000004">
      <c r="D673">
        <v>-0.89429022409603931</v>
      </c>
      <c r="E673" s="5">
        <f t="shared" si="32"/>
        <v>-7.3592680008708916E-2</v>
      </c>
      <c r="F673" s="5">
        <f t="shared" si="33"/>
        <v>-0.14038902001306341</v>
      </c>
      <c r="G673">
        <f t="shared" si="34"/>
        <v>1</v>
      </c>
    </row>
    <row r="674" spans="4:7" x14ac:dyDescent="0.55000000000000004">
      <c r="D674">
        <v>-0.90184812506777234</v>
      </c>
      <c r="E674" s="5">
        <f t="shared" si="32"/>
        <v>-7.5059761107856282E-2</v>
      </c>
      <c r="F674" s="5">
        <f t="shared" si="33"/>
        <v>-0.14258964166178445</v>
      </c>
      <c r="G674">
        <f t="shared" si="34"/>
        <v>1</v>
      </c>
    </row>
    <row r="675" spans="4:7" x14ac:dyDescent="0.55000000000000004">
      <c r="D675">
        <v>-0.82822225522249937</v>
      </c>
      <c r="E675" s="5">
        <f t="shared" si="32"/>
        <v>-6.0768078475037124E-2</v>
      </c>
      <c r="F675" s="5">
        <f t="shared" si="33"/>
        <v>-0.12115211771255563</v>
      </c>
      <c r="G675">
        <f t="shared" si="34"/>
        <v>1</v>
      </c>
    </row>
    <row r="676" spans="4:7" x14ac:dyDescent="0.55000000000000004">
      <c r="D676">
        <v>-3.4810909710358828E-3</v>
      </c>
      <c r="E676" s="5">
        <f t="shared" si="32"/>
        <v>9.9324277628521446E-2</v>
      </c>
      <c r="F676" s="5">
        <f t="shared" si="33"/>
        <v>0.11898641644278207</v>
      </c>
      <c r="G676">
        <f t="shared" si="34"/>
        <v>0</v>
      </c>
    </row>
    <row r="677" spans="4:7" x14ac:dyDescent="0.55000000000000004">
      <c r="D677">
        <v>1.0532085070735775</v>
      </c>
      <c r="E677" s="5">
        <f t="shared" si="32"/>
        <v>0.30444066414309723</v>
      </c>
      <c r="F677" s="5">
        <f t="shared" si="33"/>
        <v>0.42666099621464593</v>
      </c>
      <c r="G677">
        <f t="shared" si="34"/>
        <v>0</v>
      </c>
    </row>
    <row r="678" spans="4:7" x14ac:dyDescent="0.55000000000000004">
      <c r="D678">
        <v>0.38642838262603618</v>
      </c>
      <c r="E678" s="5">
        <f t="shared" si="32"/>
        <v>0.17501047955577387</v>
      </c>
      <c r="F678" s="5">
        <f t="shared" si="33"/>
        <v>0.23251571933366066</v>
      </c>
      <c r="G678">
        <f t="shared" si="34"/>
        <v>0</v>
      </c>
    </row>
    <row r="679" spans="4:7" x14ac:dyDescent="0.55000000000000004">
      <c r="D679">
        <v>-0.17822458175942302</v>
      </c>
      <c r="E679" s="5">
        <f t="shared" si="32"/>
        <v>6.5404426932741483E-2</v>
      </c>
      <c r="F679" s="5">
        <f t="shared" si="33"/>
        <v>6.8106640399112184E-2</v>
      </c>
      <c r="G679">
        <f t="shared" si="34"/>
        <v>0</v>
      </c>
    </row>
    <row r="680" spans="4:7" x14ac:dyDescent="0.55000000000000004">
      <c r="D680">
        <v>0.92026766651542857</v>
      </c>
      <c r="E680" s="5">
        <f t="shared" si="32"/>
        <v>0.27863521958685528</v>
      </c>
      <c r="F680" s="5">
        <f t="shared" si="33"/>
        <v>0.38795282938028275</v>
      </c>
      <c r="G680">
        <f t="shared" si="34"/>
        <v>0</v>
      </c>
    </row>
    <row r="681" spans="4:7" x14ac:dyDescent="0.55000000000000004">
      <c r="D681">
        <v>-0.65055246523115784</v>
      </c>
      <c r="E681" s="5">
        <f t="shared" si="32"/>
        <v>-2.6280197281482592E-2</v>
      </c>
      <c r="F681" s="5">
        <f t="shared" si="33"/>
        <v>-6.9420295922223874E-2</v>
      </c>
      <c r="G681">
        <f t="shared" si="34"/>
        <v>1</v>
      </c>
    </row>
    <row r="682" spans="4:7" x14ac:dyDescent="0.55000000000000004">
      <c r="D682">
        <v>-0.78521907198592089</v>
      </c>
      <c r="E682" s="5">
        <f t="shared" si="32"/>
        <v>-5.2420634182565956E-2</v>
      </c>
      <c r="F682" s="5">
        <f t="shared" si="33"/>
        <v>-0.10863095127384892</v>
      </c>
      <c r="G682">
        <f t="shared" si="34"/>
        <v>1</v>
      </c>
    </row>
    <row r="683" spans="4:7" x14ac:dyDescent="0.55000000000000004">
      <c r="D683">
        <v>0.59127160056959838</v>
      </c>
      <c r="E683" s="5">
        <f t="shared" si="32"/>
        <v>0.21477305576013173</v>
      </c>
      <c r="F683" s="5">
        <f t="shared" si="33"/>
        <v>0.29215958364019756</v>
      </c>
      <c r="G683">
        <f t="shared" si="34"/>
        <v>0</v>
      </c>
    </row>
    <row r="684" spans="4:7" x14ac:dyDescent="0.55000000000000004">
      <c r="D684">
        <v>-3.0157389119267464</v>
      </c>
      <c r="E684" s="5">
        <f t="shared" si="32"/>
        <v>-0.48539184016808734</v>
      </c>
      <c r="F684" s="5">
        <f t="shared" si="33"/>
        <v>-0.75808776025213098</v>
      </c>
      <c r="G684">
        <f t="shared" si="34"/>
        <v>1</v>
      </c>
    </row>
    <row r="685" spans="4:7" x14ac:dyDescent="0.55000000000000004">
      <c r="D685">
        <v>-0.16107264855236281</v>
      </c>
      <c r="E685" s="5">
        <f t="shared" si="32"/>
        <v>6.8733827134732514E-2</v>
      </c>
      <c r="F685" s="5">
        <f t="shared" si="33"/>
        <v>7.310074070209871E-2</v>
      </c>
      <c r="G685">
        <f t="shared" si="34"/>
        <v>0</v>
      </c>
    </row>
    <row r="686" spans="4:7" x14ac:dyDescent="0.55000000000000004">
      <c r="D686">
        <v>0.93366907094605267</v>
      </c>
      <c r="E686" s="5">
        <f t="shared" si="32"/>
        <v>0.28123659624099928</v>
      </c>
      <c r="F686" s="5">
        <f t="shared" si="33"/>
        <v>0.39185489436149901</v>
      </c>
      <c r="G686">
        <f t="shared" si="34"/>
        <v>0</v>
      </c>
    </row>
    <row r="687" spans="4:7" x14ac:dyDescent="0.55000000000000004">
      <c r="D687">
        <v>0.17565980670042336</v>
      </c>
      <c r="E687" s="5">
        <f t="shared" si="32"/>
        <v>0.13409771883144672</v>
      </c>
      <c r="F687" s="5">
        <f t="shared" si="33"/>
        <v>0.17114657824716994</v>
      </c>
      <c r="G687">
        <f t="shared" si="34"/>
        <v>0</v>
      </c>
    </row>
    <row r="688" spans="4:7" x14ac:dyDescent="0.55000000000000004">
      <c r="D688">
        <v>-1.116166004067054</v>
      </c>
      <c r="E688" s="5">
        <f t="shared" si="32"/>
        <v>-0.1166614850078059</v>
      </c>
      <c r="F688" s="5">
        <f t="shared" si="33"/>
        <v>-0.20499222751170887</v>
      </c>
      <c r="G688">
        <f t="shared" si="34"/>
        <v>1</v>
      </c>
    </row>
    <row r="689" spans="4:7" x14ac:dyDescent="0.55000000000000004">
      <c r="D689">
        <v>1.7562661014380865</v>
      </c>
      <c r="E689" s="5">
        <f t="shared" si="32"/>
        <v>0.44091274973430034</v>
      </c>
      <c r="F689" s="5">
        <f t="shared" si="33"/>
        <v>0.63136912460145078</v>
      </c>
      <c r="G689">
        <f t="shared" si="34"/>
        <v>0</v>
      </c>
    </row>
    <row r="690" spans="4:7" x14ac:dyDescent="0.55000000000000004">
      <c r="D690">
        <v>0.54001020544092171</v>
      </c>
      <c r="E690" s="5">
        <f t="shared" si="32"/>
        <v>0.20482259144596884</v>
      </c>
      <c r="F690" s="5">
        <f t="shared" si="33"/>
        <v>0.27723388716895347</v>
      </c>
      <c r="G690">
        <f t="shared" si="34"/>
        <v>0</v>
      </c>
    </row>
    <row r="691" spans="4:7" x14ac:dyDescent="0.55000000000000004">
      <c r="D691">
        <v>1.6512058209627867</v>
      </c>
      <c r="E691" s="5">
        <f t="shared" si="32"/>
        <v>0.42051926319182042</v>
      </c>
      <c r="F691" s="5">
        <f t="shared" si="33"/>
        <v>0.60077889478773061</v>
      </c>
      <c r="G691">
        <f t="shared" si="34"/>
        <v>0</v>
      </c>
    </row>
    <row r="692" spans="4:7" x14ac:dyDescent="0.55000000000000004">
      <c r="D692">
        <v>0.72717966759228148</v>
      </c>
      <c r="E692" s="5">
        <f t="shared" si="32"/>
        <v>0.24115447529663461</v>
      </c>
      <c r="F692" s="5">
        <f t="shared" si="33"/>
        <v>0.33173171294495196</v>
      </c>
      <c r="G692">
        <f t="shared" si="34"/>
        <v>0</v>
      </c>
    </row>
    <row r="693" spans="4:7" x14ac:dyDescent="0.55000000000000004">
      <c r="D693">
        <v>-0.87977923612925224</v>
      </c>
      <c r="E693" s="5">
        <f t="shared" si="32"/>
        <v>-7.0775919607157012E-2</v>
      </c>
      <c r="F693" s="5">
        <f t="shared" si="33"/>
        <v>-0.13616387941073549</v>
      </c>
      <c r="G693">
        <f t="shared" si="34"/>
        <v>1</v>
      </c>
    </row>
    <row r="694" spans="4:7" x14ac:dyDescent="0.55000000000000004">
      <c r="D694">
        <v>-0.72508782977820374</v>
      </c>
      <c r="E694" s="5">
        <f t="shared" si="32"/>
        <v>-4.0748423969554137E-2</v>
      </c>
      <c r="F694" s="5">
        <f t="shared" si="33"/>
        <v>-9.1122635954331233E-2</v>
      </c>
      <c r="G694">
        <f t="shared" si="34"/>
        <v>1</v>
      </c>
    </row>
    <row r="695" spans="4:7" x14ac:dyDescent="0.55000000000000004">
      <c r="D695">
        <v>1.1869769878103398</v>
      </c>
      <c r="E695" s="5">
        <f t="shared" si="32"/>
        <v>0.33040676378961886</v>
      </c>
      <c r="F695" s="5">
        <f t="shared" si="33"/>
        <v>0.46561014568442838</v>
      </c>
      <c r="G695">
        <f t="shared" si="34"/>
        <v>0</v>
      </c>
    </row>
    <row r="696" spans="4:7" x14ac:dyDescent="0.55000000000000004">
      <c r="D696">
        <v>1.396169864165131</v>
      </c>
      <c r="E696" s="5">
        <f t="shared" si="32"/>
        <v>0.37101366193822127</v>
      </c>
      <c r="F696" s="5">
        <f t="shared" si="33"/>
        <v>0.52652049290733149</v>
      </c>
      <c r="G696">
        <f t="shared" si="34"/>
        <v>0</v>
      </c>
    </row>
    <row r="697" spans="4:7" x14ac:dyDescent="0.55000000000000004">
      <c r="D697">
        <v>-0.2935962584160734</v>
      </c>
      <c r="E697" s="5">
        <f t="shared" si="32"/>
        <v>4.3009372163837593E-2</v>
      </c>
      <c r="F697" s="5">
        <f t="shared" si="33"/>
        <v>3.4514058245756374E-2</v>
      </c>
      <c r="G697">
        <f t="shared" si="34"/>
        <v>1</v>
      </c>
    </row>
    <row r="698" spans="4:7" x14ac:dyDescent="0.55000000000000004">
      <c r="D698">
        <v>-0.80114432421396486</v>
      </c>
      <c r="E698" s="5">
        <f t="shared" si="32"/>
        <v>-5.5511920590035319E-2</v>
      </c>
      <c r="F698" s="5">
        <f t="shared" si="33"/>
        <v>-0.11326788088505291</v>
      </c>
      <c r="G698">
        <f t="shared" si="34"/>
        <v>1</v>
      </c>
    </row>
    <row r="699" spans="4:7" x14ac:dyDescent="0.55000000000000004">
      <c r="D699">
        <v>0.55458258430007845</v>
      </c>
      <c r="E699" s="5">
        <f t="shared" si="32"/>
        <v>0.20765126857125027</v>
      </c>
      <c r="F699" s="5">
        <f t="shared" si="33"/>
        <v>0.28147690285687577</v>
      </c>
      <c r="G699">
        <f t="shared" si="34"/>
        <v>0</v>
      </c>
    </row>
    <row r="700" spans="4:7" x14ac:dyDescent="0.55000000000000004">
      <c r="D700">
        <v>0.88803290054784156</v>
      </c>
      <c r="E700" s="5">
        <f t="shared" si="32"/>
        <v>0.27237805690857242</v>
      </c>
      <c r="F700" s="5">
        <f t="shared" si="33"/>
        <v>0.37856708536285844</v>
      </c>
      <c r="G700">
        <f t="shared" si="34"/>
        <v>0</v>
      </c>
    </row>
    <row r="701" spans="4:7" x14ac:dyDescent="0.55000000000000004">
      <c r="D701">
        <v>0.23575466912006959</v>
      </c>
      <c r="E701" s="5">
        <f t="shared" si="32"/>
        <v>0.14576286728224844</v>
      </c>
      <c r="F701" s="5">
        <f t="shared" si="33"/>
        <v>0.1886443009233727</v>
      </c>
      <c r="G701">
        <f t="shared" si="34"/>
        <v>0</v>
      </c>
    </row>
    <row r="702" spans="4:7" x14ac:dyDescent="0.55000000000000004">
      <c r="D702">
        <v>0.98133796200272627</v>
      </c>
      <c r="E702" s="5">
        <f t="shared" si="32"/>
        <v>0.29048971153691516</v>
      </c>
      <c r="F702" s="5">
        <f t="shared" si="33"/>
        <v>0.40573456730537294</v>
      </c>
      <c r="G702">
        <f t="shared" si="34"/>
        <v>0</v>
      </c>
    </row>
    <row r="703" spans="4:7" x14ac:dyDescent="0.55000000000000004">
      <c r="D703">
        <v>-0.49678192226565443</v>
      </c>
      <c r="E703" s="5">
        <f t="shared" si="32"/>
        <v>3.5685475001772382E-3</v>
      </c>
      <c r="F703" s="5">
        <f t="shared" si="33"/>
        <v>-2.46471787497341E-2</v>
      </c>
      <c r="G703">
        <f t="shared" si="34"/>
        <v>1</v>
      </c>
    </row>
    <row r="704" spans="4:7" x14ac:dyDescent="0.55000000000000004">
      <c r="D704">
        <v>1.3069529813947156</v>
      </c>
      <c r="E704" s="5">
        <f t="shared" si="32"/>
        <v>0.35369557283823799</v>
      </c>
      <c r="F704" s="5">
        <f t="shared" si="33"/>
        <v>0.50054335925735716</v>
      </c>
      <c r="G704">
        <f t="shared" si="34"/>
        <v>0</v>
      </c>
    </row>
    <row r="705" spans="4:7" x14ac:dyDescent="0.55000000000000004">
      <c r="D705">
        <v>0.54337533583748154</v>
      </c>
      <c r="E705" s="5">
        <f t="shared" si="32"/>
        <v>0.2054758044504027</v>
      </c>
      <c r="F705" s="5">
        <f t="shared" si="33"/>
        <v>0.27821370667560408</v>
      </c>
      <c r="G705">
        <f t="shared" si="34"/>
        <v>0</v>
      </c>
    </row>
    <row r="706" spans="4:7" x14ac:dyDescent="0.55000000000000004">
      <c r="D706">
        <v>-0.98779764812206849</v>
      </c>
      <c r="E706" s="5">
        <f t="shared" si="32"/>
        <v>-9.1743615689345331E-2</v>
      </c>
      <c r="F706" s="5">
        <f t="shared" si="33"/>
        <v>-0.16761542353401804</v>
      </c>
      <c r="G706">
        <f t="shared" si="34"/>
        <v>1</v>
      </c>
    </row>
    <row r="707" spans="4:7" x14ac:dyDescent="0.55000000000000004">
      <c r="D707">
        <v>1.0357848623243626</v>
      </c>
      <c r="E707" s="5">
        <f t="shared" si="32"/>
        <v>0.30105852140459954</v>
      </c>
      <c r="F707" s="5">
        <f t="shared" si="33"/>
        <v>0.42158778210689918</v>
      </c>
      <c r="G707">
        <f t="shared" si="34"/>
        <v>0</v>
      </c>
    </row>
    <row r="708" spans="4:7" x14ac:dyDescent="0.55000000000000004">
      <c r="D708">
        <v>-0.80505287769483402</v>
      </c>
      <c r="E708" s="5">
        <f t="shared" ref="E708:E771" si="35">$B$3+D708*$B$4</f>
        <v>-5.627061866748248E-2</v>
      </c>
      <c r="F708" s="5">
        <f t="shared" ref="F708:F771" si="36">($B$2*(1+E708)-$B$5*(1+$B$6))/$B$7-1</f>
        <v>-0.11440592800122373</v>
      </c>
      <c r="G708">
        <f t="shared" ref="G708:G771" si="37">IF(F708&lt;E708,1,0)</f>
        <v>1</v>
      </c>
    </row>
    <row r="709" spans="4:7" x14ac:dyDescent="0.55000000000000004">
      <c r="D709">
        <v>0.24480868887621909</v>
      </c>
      <c r="E709" s="5">
        <f t="shared" si="35"/>
        <v>0.14752036335228599</v>
      </c>
      <c r="F709" s="5">
        <f t="shared" si="36"/>
        <v>0.19128054502842895</v>
      </c>
      <c r="G709">
        <f t="shared" si="37"/>
        <v>0</v>
      </c>
    </row>
    <row r="710" spans="4:7" x14ac:dyDescent="0.55000000000000004">
      <c r="D710">
        <v>-0.5157392024557339</v>
      </c>
      <c r="E710" s="5">
        <f t="shared" si="35"/>
        <v>-1.1129265148977774E-4</v>
      </c>
      <c r="F710" s="5">
        <f t="shared" si="36"/>
        <v>-3.0166938977234659E-2</v>
      </c>
      <c r="G710">
        <f t="shared" si="37"/>
        <v>1</v>
      </c>
    </row>
    <row r="711" spans="4:7" x14ac:dyDescent="0.55000000000000004">
      <c r="D711">
        <v>-0.5788353973912308</v>
      </c>
      <c r="E711" s="5">
        <f t="shared" si="35"/>
        <v>-1.2359036484624386E-2</v>
      </c>
      <c r="F711" s="5">
        <f t="shared" si="36"/>
        <v>-4.8538554726936689E-2</v>
      </c>
      <c r="G711">
        <f t="shared" si="37"/>
        <v>1</v>
      </c>
    </row>
    <row r="712" spans="4:7" x14ac:dyDescent="0.55000000000000004">
      <c r="D712">
        <v>-6.0815636970801279E-2</v>
      </c>
      <c r="E712" s="5">
        <f t="shared" si="35"/>
        <v>8.8194940385410744E-2</v>
      </c>
      <c r="F712" s="5">
        <f t="shared" si="36"/>
        <v>0.10229241057811622</v>
      </c>
      <c r="G712">
        <f t="shared" si="37"/>
        <v>0</v>
      </c>
    </row>
    <row r="713" spans="4:7" x14ac:dyDescent="0.55000000000000004">
      <c r="D713">
        <v>0.64347887018811889</v>
      </c>
      <c r="E713" s="5">
        <f t="shared" si="35"/>
        <v>0.2249071258917571</v>
      </c>
      <c r="F713" s="5">
        <f t="shared" si="36"/>
        <v>0.30736068883763545</v>
      </c>
      <c r="G713">
        <f t="shared" si="37"/>
        <v>0</v>
      </c>
    </row>
    <row r="714" spans="4:7" x14ac:dyDescent="0.55000000000000004">
      <c r="D714">
        <v>-0.85162582763587125</v>
      </c>
      <c r="E714" s="5">
        <f t="shared" si="35"/>
        <v>-6.5310998376819279E-2</v>
      </c>
      <c r="F714" s="5">
        <f t="shared" si="36"/>
        <v>-0.12796649756522893</v>
      </c>
      <c r="G714">
        <f t="shared" si="37"/>
        <v>1</v>
      </c>
    </row>
    <row r="715" spans="4:7" x14ac:dyDescent="0.55000000000000004">
      <c r="D715">
        <v>-0.84800376498606056</v>
      </c>
      <c r="E715" s="5">
        <f t="shared" si="35"/>
        <v>-6.4607911676776625E-2</v>
      </c>
      <c r="F715" s="5">
        <f t="shared" si="36"/>
        <v>-0.12691186751516492</v>
      </c>
      <c r="G715">
        <f t="shared" si="37"/>
        <v>1</v>
      </c>
    </row>
    <row r="716" spans="4:7" x14ac:dyDescent="0.55000000000000004">
      <c r="D716">
        <v>-0.80685140346758999</v>
      </c>
      <c r="E716" s="5">
        <f t="shared" si="35"/>
        <v>-5.6619734536744071E-2</v>
      </c>
      <c r="F716" s="5">
        <f t="shared" si="36"/>
        <v>-0.11492960180511613</v>
      </c>
      <c r="G716">
        <f t="shared" si="37"/>
        <v>1</v>
      </c>
    </row>
    <row r="717" spans="4:7" x14ac:dyDescent="0.55000000000000004">
      <c r="D717">
        <v>-0.72628154157428071</v>
      </c>
      <c r="E717" s="5">
        <f t="shared" si="35"/>
        <v>-4.09801380420729E-2</v>
      </c>
      <c r="F717" s="5">
        <f t="shared" si="36"/>
        <v>-9.1470207063109377E-2</v>
      </c>
      <c r="G717">
        <f t="shared" si="37"/>
        <v>1</v>
      </c>
    </row>
    <row r="718" spans="4:7" x14ac:dyDescent="0.55000000000000004">
      <c r="D718">
        <v>-0.9302448233938776</v>
      </c>
      <c r="E718" s="5">
        <f t="shared" si="35"/>
        <v>-8.0571907872974052E-2</v>
      </c>
      <c r="F718" s="5">
        <f t="shared" si="36"/>
        <v>-0.15085786180946104</v>
      </c>
      <c r="G718">
        <f t="shared" si="37"/>
        <v>1</v>
      </c>
    </row>
    <row r="719" spans="4:7" x14ac:dyDescent="0.55000000000000004">
      <c r="D719">
        <v>-0.72498778536100872</v>
      </c>
      <c r="E719" s="5">
        <f t="shared" si="35"/>
        <v>-4.0729004123476381E-2</v>
      </c>
      <c r="F719" s="5">
        <f t="shared" si="36"/>
        <v>-9.1093506185214612E-2</v>
      </c>
      <c r="G719">
        <f t="shared" si="37"/>
        <v>1</v>
      </c>
    </row>
    <row r="720" spans="4:7" x14ac:dyDescent="0.55000000000000004">
      <c r="D720">
        <v>-1.1586735126911663</v>
      </c>
      <c r="E720" s="5">
        <f t="shared" si="35"/>
        <v>-0.12491271279016453</v>
      </c>
      <c r="F720" s="5">
        <f t="shared" si="36"/>
        <v>-0.2173690691852469</v>
      </c>
      <c r="G720">
        <f t="shared" si="37"/>
        <v>1</v>
      </c>
    </row>
    <row r="721" spans="4:7" x14ac:dyDescent="0.55000000000000004">
      <c r="D721">
        <v>0.28219346859259531</v>
      </c>
      <c r="E721" s="5">
        <f t="shared" si="35"/>
        <v>0.15477720674343551</v>
      </c>
      <c r="F721" s="5">
        <f t="shared" si="36"/>
        <v>0.20216581011515289</v>
      </c>
      <c r="G721">
        <f t="shared" si="37"/>
        <v>0</v>
      </c>
    </row>
    <row r="722" spans="4:7" x14ac:dyDescent="0.55000000000000004">
      <c r="D722">
        <v>-1.0493545232748147</v>
      </c>
      <c r="E722" s="5">
        <f t="shared" si="35"/>
        <v>-0.10369255870896527</v>
      </c>
      <c r="F722" s="5">
        <f t="shared" si="36"/>
        <v>-0.18553883806344784</v>
      </c>
      <c r="G722">
        <f t="shared" si="37"/>
        <v>1</v>
      </c>
    </row>
    <row r="723" spans="4:7" x14ac:dyDescent="0.55000000000000004">
      <c r="D723">
        <v>0.3810760063061025</v>
      </c>
      <c r="E723" s="5">
        <f t="shared" si="35"/>
        <v>0.17397151779061357</v>
      </c>
      <c r="F723" s="5">
        <f t="shared" si="36"/>
        <v>0.23095727668592048</v>
      </c>
      <c r="G723">
        <f t="shared" si="37"/>
        <v>0</v>
      </c>
    </row>
    <row r="724" spans="4:7" x14ac:dyDescent="0.55000000000000004">
      <c r="D724">
        <v>2.6445923140272498</v>
      </c>
      <c r="E724" s="5">
        <f t="shared" si="35"/>
        <v>0.61334774210069165</v>
      </c>
      <c r="F724" s="5">
        <f t="shared" si="36"/>
        <v>0.89002161315103723</v>
      </c>
      <c r="G724">
        <f t="shared" si="37"/>
        <v>0</v>
      </c>
    </row>
    <row r="725" spans="4:7" x14ac:dyDescent="0.55000000000000004">
      <c r="D725">
        <v>-0.35642983675643336</v>
      </c>
      <c r="E725" s="5">
        <f t="shared" si="35"/>
        <v>3.0812605426657119E-2</v>
      </c>
      <c r="F725" s="5">
        <f t="shared" si="36"/>
        <v>1.6218908139985722E-2</v>
      </c>
      <c r="G725">
        <f t="shared" si="37"/>
        <v>1</v>
      </c>
    </row>
    <row r="726" spans="4:7" x14ac:dyDescent="0.55000000000000004">
      <c r="D726">
        <v>0.40471149986842647</v>
      </c>
      <c r="E726" s="5">
        <f t="shared" si="35"/>
        <v>0.17855945642648507</v>
      </c>
      <c r="F726" s="5">
        <f t="shared" si="36"/>
        <v>0.23783918463972742</v>
      </c>
      <c r="G726">
        <f t="shared" si="37"/>
        <v>0</v>
      </c>
    </row>
    <row r="727" spans="4:7" x14ac:dyDescent="0.55000000000000004">
      <c r="D727">
        <v>-0.6542427399836015</v>
      </c>
      <c r="E727" s="5">
        <f t="shared" si="35"/>
        <v>-2.6996524785669163E-2</v>
      </c>
      <c r="F727" s="5">
        <f t="shared" si="36"/>
        <v>-7.0494787178503771E-2</v>
      </c>
      <c r="G727">
        <f t="shared" si="37"/>
        <v>1</v>
      </c>
    </row>
    <row r="728" spans="4:7" x14ac:dyDescent="0.55000000000000004">
      <c r="D728">
        <v>2.0158950064796954E-2</v>
      </c>
      <c r="E728" s="5">
        <f t="shared" si="35"/>
        <v>0.10391309898466922</v>
      </c>
      <c r="F728" s="5">
        <f t="shared" si="36"/>
        <v>0.1258696484770041</v>
      </c>
      <c r="G728">
        <f t="shared" si="37"/>
        <v>0</v>
      </c>
    </row>
    <row r="729" spans="4:7" x14ac:dyDescent="0.55000000000000004">
      <c r="D729">
        <v>0.14899455891281832</v>
      </c>
      <c r="E729" s="5">
        <f t="shared" si="35"/>
        <v>0.12892166781151571</v>
      </c>
      <c r="F729" s="5">
        <f t="shared" si="36"/>
        <v>0.16338250171727342</v>
      </c>
      <c r="G729">
        <f t="shared" si="37"/>
        <v>0</v>
      </c>
    </row>
    <row r="730" spans="4:7" x14ac:dyDescent="0.55000000000000004">
      <c r="D730">
        <v>0.31716126613900997</v>
      </c>
      <c r="E730" s="5">
        <f t="shared" si="35"/>
        <v>0.16156488430775182</v>
      </c>
      <c r="F730" s="5">
        <f t="shared" si="36"/>
        <v>0.21234732646162779</v>
      </c>
      <c r="G730">
        <f t="shared" si="37"/>
        <v>0</v>
      </c>
    </row>
    <row r="731" spans="4:7" x14ac:dyDescent="0.55000000000000004">
      <c r="D731">
        <v>-0.34796585168805905</v>
      </c>
      <c r="E731" s="5">
        <f t="shared" si="35"/>
        <v>3.2455568540849675E-2</v>
      </c>
      <c r="F731" s="5">
        <f t="shared" si="36"/>
        <v>1.8683352811274423E-2</v>
      </c>
      <c r="G731">
        <f t="shared" si="37"/>
        <v>1</v>
      </c>
    </row>
    <row r="732" spans="4:7" x14ac:dyDescent="0.55000000000000004">
      <c r="D732">
        <v>-1.5054592950036749</v>
      </c>
      <c r="E732" s="5">
        <f t="shared" si="35"/>
        <v>-0.19222807833762484</v>
      </c>
      <c r="F732" s="5">
        <f t="shared" si="36"/>
        <v>-0.31834211750643737</v>
      </c>
      <c r="G732">
        <f t="shared" si="37"/>
        <v>1</v>
      </c>
    </row>
    <row r="733" spans="4:7" x14ac:dyDescent="0.55000000000000004">
      <c r="D733">
        <v>4.8404444896732457E-2</v>
      </c>
      <c r="E733" s="5">
        <f t="shared" si="35"/>
        <v>0.10939589530060127</v>
      </c>
      <c r="F733" s="5">
        <f t="shared" si="36"/>
        <v>0.13409384295090199</v>
      </c>
      <c r="G733">
        <f t="shared" si="37"/>
        <v>0</v>
      </c>
    </row>
    <row r="734" spans="4:7" x14ac:dyDescent="0.55000000000000004">
      <c r="D734">
        <v>-2.1664800442522392</v>
      </c>
      <c r="E734" s="5">
        <f t="shared" si="35"/>
        <v>-0.32054029769506243</v>
      </c>
      <c r="F734" s="5">
        <f t="shared" si="36"/>
        <v>-0.51081044654259367</v>
      </c>
      <c r="G734">
        <f t="shared" si="37"/>
        <v>1</v>
      </c>
    </row>
    <row r="735" spans="4:7" x14ac:dyDescent="0.55000000000000004">
      <c r="D735">
        <v>1.0689245755202137</v>
      </c>
      <c r="E735" s="5">
        <f t="shared" si="35"/>
        <v>0.30749134541785855</v>
      </c>
      <c r="F735" s="5">
        <f t="shared" si="36"/>
        <v>0.43123701812678772</v>
      </c>
      <c r="G735">
        <f t="shared" si="37"/>
        <v>0</v>
      </c>
    </row>
    <row r="736" spans="4:7" x14ac:dyDescent="0.55000000000000004">
      <c r="D736">
        <v>-1.0238250069960486</v>
      </c>
      <c r="E736" s="5">
        <f t="shared" si="35"/>
        <v>-9.8736967078030674E-2</v>
      </c>
      <c r="F736" s="5">
        <f t="shared" si="36"/>
        <v>-0.17810545061704597</v>
      </c>
      <c r="G736">
        <f t="shared" si="37"/>
        <v>1</v>
      </c>
    </row>
    <row r="737" spans="4:7" x14ac:dyDescent="0.55000000000000004">
      <c r="D737">
        <v>1.0946041584247723</v>
      </c>
      <c r="E737" s="5">
        <f t="shared" si="35"/>
        <v>0.31247606681790979</v>
      </c>
      <c r="F737" s="5">
        <f t="shared" si="36"/>
        <v>0.43871410022686463</v>
      </c>
      <c r="G737">
        <f t="shared" si="37"/>
        <v>0</v>
      </c>
    </row>
    <row r="738" spans="4:7" x14ac:dyDescent="0.55000000000000004">
      <c r="D738">
        <v>-0.67312157625565305</v>
      </c>
      <c r="E738" s="5">
        <f t="shared" si="35"/>
        <v>-3.0661138012570671E-2</v>
      </c>
      <c r="F738" s="5">
        <f t="shared" si="36"/>
        <v>-7.5991707018855936E-2</v>
      </c>
      <c r="G738">
        <f t="shared" si="37"/>
        <v>1</v>
      </c>
    </row>
    <row r="739" spans="4:7" x14ac:dyDescent="0.55000000000000004">
      <c r="D739">
        <v>-1.2217333278385922</v>
      </c>
      <c r="E739" s="5">
        <f t="shared" si="35"/>
        <v>-0.13715339486108902</v>
      </c>
      <c r="F739" s="5">
        <f t="shared" si="36"/>
        <v>-0.23573009229163344</v>
      </c>
      <c r="G739">
        <f t="shared" si="37"/>
        <v>1</v>
      </c>
    </row>
    <row r="740" spans="4:7" x14ac:dyDescent="0.55000000000000004">
      <c r="D740">
        <v>-0.72111333793145604</v>
      </c>
      <c r="E740" s="5">
        <f t="shared" si="35"/>
        <v>-3.9976926448101191E-2</v>
      </c>
      <c r="F740" s="5">
        <f t="shared" si="36"/>
        <v>-8.9965389672151619E-2</v>
      </c>
      <c r="G740">
        <f t="shared" si="37"/>
        <v>1</v>
      </c>
    </row>
    <row r="741" spans="4:7" x14ac:dyDescent="0.55000000000000004">
      <c r="D741">
        <v>1.4411580195883289</v>
      </c>
      <c r="E741" s="5">
        <f t="shared" si="35"/>
        <v>0.37974641363128075</v>
      </c>
      <c r="F741" s="5">
        <f t="shared" si="36"/>
        <v>0.53961962044692124</v>
      </c>
      <c r="G741">
        <f t="shared" si="37"/>
        <v>0</v>
      </c>
    </row>
    <row r="742" spans="4:7" x14ac:dyDescent="0.55000000000000004">
      <c r="D742">
        <v>0.31161562219494954</v>
      </c>
      <c r="E742" s="5">
        <f t="shared" si="35"/>
        <v>0.16048840693085037</v>
      </c>
      <c r="F742" s="5">
        <f t="shared" si="36"/>
        <v>0.21073261039627544</v>
      </c>
      <c r="G742">
        <f t="shared" si="37"/>
        <v>0</v>
      </c>
    </row>
    <row r="743" spans="4:7" x14ac:dyDescent="0.55000000000000004">
      <c r="D743">
        <v>1.0889129953284282</v>
      </c>
      <c r="E743" s="5">
        <f t="shared" si="35"/>
        <v>0.31137134239216796</v>
      </c>
      <c r="F743" s="5">
        <f t="shared" si="36"/>
        <v>0.43705701358825211</v>
      </c>
      <c r="G743">
        <f t="shared" si="37"/>
        <v>0</v>
      </c>
    </row>
    <row r="744" spans="4:7" x14ac:dyDescent="0.55000000000000004">
      <c r="D744">
        <v>0.70444684752146713</v>
      </c>
      <c r="E744" s="5">
        <f t="shared" si="35"/>
        <v>0.2367417566356011</v>
      </c>
      <c r="F744" s="5">
        <f t="shared" si="36"/>
        <v>0.3251126349534017</v>
      </c>
      <c r="G744">
        <f t="shared" si="37"/>
        <v>0</v>
      </c>
    </row>
    <row r="745" spans="4:7" x14ac:dyDescent="0.55000000000000004">
      <c r="D745">
        <v>1.234743649547454</v>
      </c>
      <c r="E745" s="5">
        <f t="shared" si="35"/>
        <v>0.33967885757147442</v>
      </c>
      <c r="F745" s="5">
        <f t="shared" si="36"/>
        <v>0.47951828635721183</v>
      </c>
      <c r="G745">
        <f t="shared" si="37"/>
        <v>0</v>
      </c>
    </row>
    <row r="746" spans="4:7" x14ac:dyDescent="0.55000000000000004">
      <c r="D746">
        <v>2.5625013222452253E-3</v>
      </c>
      <c r="E746" s="5">
        <f t="shared" si="35"/>
        <v>0.10049741287567358</v>
      </c>
      <c r="F746" s="5">
        <f t="shared" si="36"/>
        <v>0.1207461193135102</v>
      </c>
      <c r="G746">
        <f t="shared" si="37"/>
        <v>0</v>
      </c>
    </row>
    <row r="747" spans="4:7" x14ac:dyDescent="0.55000000000000004">
      <c r="D747">
        <v>0.56873432185966522</v>
      </c>
      <c r="E747" s="5">
        <f t="shared" si="35"/>
        <v>0.21039829407097749</v>
      </c>
      <c r="F747" s="5">
        <f t="shared" si="36"/>
        <v>0.28559744110646612</v>
      </c>
      <c r="G747">
        <f t="shared" si="37"/>
        <v>0</v>
      </c>
    </row>
    <row r="748" spans="4:7" x14ac:dyDescent="0.55000000000000004">
      <c r="D748">
        <v>-0.62952040025265887</v>
      </c>
      <c r="E748" s="5">
        <f t="shared" si="35"/>
        <v>-2.2197616003771056E-2</v>
      </c>
      <c r="F748" s="5">
        <f t="shared" si="36"/>
        <v>-6.3296424005656493E-2</v>
      </c>
      <c r="G748">
        <f t="shared" si="37"/>
        <v>1</v>
      </c>
    </row>
    <row r="749" spans="4:7" x14ac:dyDescent="0.55000000000000004">
      <c r="D749">
        <v>0.20580955606419593</v>
      </c>
      <c r="E749" s="5">
        <f t="shared" si="35"/>
        <v>0.13995015426306348</v>
      </c>
      <c r="F749" s="5">
        <f t="shared" si="36"/>
        <v>0.17992523139459515</v>
      </c>
      <c r="G749">
        <f t="shared" si="37"/>
        <v>0</v>
      </c>
    </row>
    <row r="750" spans="4:7" x14ac:dyDescent="0.55000000000000004">
      <c r="D750">
        <v>0.29024363357166294</v>
      </c>
      <c r="E750" s="5">
        <f t="shared" si="35"/>
        <v>0.15633984231248824</v>
      </c>
      <c r="F750" s="5">
        <f t="shared" si="36"/>
        <v>0.20450976346873251</v>
      </c>
      <c r="G750">
        <f t="shared" si="37"/>
        <v>0</v>
      </c>
    </row>
    <row r="751" spans="4:7" x14ac:dyDescent="0.55000000000000004">
      <c r="D751">
        <v>-0.17705815480439924</v>
      </c>
      <c r="E751" s="5">
        <f t="shared" si="35"/>
        <v>6.5630844683602682E-2</v>
      </c>
      <c r="F751" s="5">
        <f t="shared" si="36"/>
        <v>6.8446267025404017E-2</v>
      </c>
      <c r="G751">
        <f t="shared" si="37"/>
        <v>0</v>
      </c>
    </row>
    <row r="752" spans="4:7" x14ac:dyDescent="0.55000000000000004">
      <c r="D752">
        <v>-1.0431381269881967</v>
      </c>
      <c r="E752" s="5">
        <f t="shared" si="35"/>
        <v>-0.10248588009131518</v>
      </c>
      <c r="F752" s="5">
        <f t="shared" si="36"/>
        <v>-0.18372882013697289</v>
      </c>
      <c r="G752">
        <f t="shared" si="37"/>
        <v>1</v>
      </c>
    </row>
    <row r="753" spans="4:7" x14ac:dyDescent="0.55000000000000004">
      <c r="D753">
        <v>-0.58644900491344742</v>
      </c>
      <c r="E753" s="5">
        <f t="shared" si="35"/>
        <v>-1.3836930907155959E-2</v>
      </c>
      <c r="F753" s="5">
        <f t="shared" si="36"/>
        <v>-5.0755396360733895E-2</v>
      </c>
      <c r="G753">
        <f t="shared" si="37"/>
        <v>1</v>
      </c>
    </row>
    <row r="754" spans="4:7" x14ac:dyDescent="0.55000000000000004">
      <c r="D754">
        <v>-0.91560423243208788</v>
      </c>
      <c r="E754" s="5">
        <f t="shared" si="35"/>
        <v>-7.7729989943548683E-2</v>
      </c>
      <c r="F754" s="5">
        <f t="shared" si="36"/>
        <v>-0.14659498491532286</v>
      </c>
      <c r="G754">
        <f t="shared" si="37"/>
        <v>1</v>
      </c>
    </row>
    <row r="755" spans="4:7" x14ac:dyDescent="0.55000000000000004">
      <c r="D755">
        <v>0.37032236832601484</v>
      </c>
      <c r="E755" s="5">
        <f t="shared" si="35"/>
        <v>0.1718841050173231</v>
      </c>
      <c r="F755" s="5">
        <f t="shared" si="36"/>
        <v>0.22782615752598456</v>
      </c>
      <c r="G755">
        <f t="shared" si="37"/>
        <v>0</v>
      </c>
    </row>
    <row r="756" spans="4:7" x14ac:dyDescent="0.55000000000000004">
      <c r="D756">
        <v>-1.2062309906468727</v>
      </c>
      <c r="E756" s="5">
        <f t="shared" si="35"/>
        <v>-0.13414420143931202</v>
      </c>
      <c r="F756" s="5">
        <f t="shared" si="36"/>
        <v>-0.23121630215896805</v>
      </c>
      <c r="G756">
        <f t="shared" si="37"/>
        <v>1</v>
      </c>
    </row>
    <row r="757" spans="4:7" x14ac:dyDescent="0.55000000000000004">
      <c r="D757">
        <v>4.2048213799716905E-2</v>
      </c>
      <c r="E757" s="5">
        <f t="shared" si="35"/>
        <v>0.10816207303445613</v>
      </c>
      <c r="F757" s="5">
        <f t="shared" si="36"/>
        <v>0.13224310955168406</v>
      </c>
      <c r="G757">
        <f t="shared" si="37"/>
        <v>0</v>
      </c>
    </row>
    <row r="758" spans="4:7" x14ac:dyDescent="0.55000000000000004">
      <c r="D758">
        <v>-0.93592007033294067</v>
      </c>
      <c r="E758" s="5">
        <f t="shared" si="35"/>
        <v>-8.1673542777748964E-2</v>
      </c>
      <c r="F758" s="5">
        <f t="shared" si="36"/>
        <v>-0.15251031416662331</v>
      </c>
      <c r="G758">
        <f t="shared" si="37"/>
        <v>1</v>
      </c>
    </row>
    <row r="759" spans="4:7" x14ac:dyDescent="0.55000000000000004">
      <c r="D759">
        <v>-0.84002977018826641</v>
      </c>
      <c r="E759" s="5">
        <f t="shared" si="35"/>
        <v>-6.3060061672351286E-2</v>
      </c>
      <c r="F759" s="5">
        <f t="shared" si="36"/>
        <v>-0.12459009250852704</v>
      </c>
      <c r="G759">
        <f t="shared" si="37"/>
        <v>1</v>
      </c>
    </row>
    <row r="760" spans="4:7" x14ac:dyDescent="0.55000000000000004">
      <c r="D760">
        <v>0.94377128334599547</v>
      </c>
      <c r="E760" s="5">
        <f t="shared" si="35"/>
        <v>0.28319755933471519</v>
      </c>
      <c r="F760" s="5">
        <f t="shared" si="36"/>
        <v>0.39479633900207256</v>
      </c>
      <c r="G760">
        <f t="shared" si="37"/>
        <v>0</v>
      </c>
    </row>
    <row r="761" spans="4:7" x14ac:dyDescent="0.55000000000000004">
      <c r="D761">
        <v>-0.75242382990836632</v>
      </c>
      <c r="E761" s="5">
        <f t="shared" si="35"/>
        <v>-4.6054676230233821E-2</v>
      </c>
      <c r="F761" s="5">
        <f t="shared" si="36"/>
        <v>-9.90820143453508E-2</v>
      </c>
      <c r="G761">
        <f t="shared" si="37"/>
        <v>1</v>
      </c>
    </row>
    <row r="762" spans="4:7" x14ac:dyDescent="0.55000000000000004">
      <c r="D762">
        <v>4.120579433219973E-2</v>
      </c>
      <c r="E762" s="5">
        <f t="shared" si="35"/>
        <v>0.10799854910327861</v>
      </c>
      <c r="F762" s="5">
        <f t="shared" si="36"/>
        <v>0.13199782365491819</v>
      </c>
      <c r="G762">
        <f t="shared" si="37"/>
        <v>0</v>
      </c>
    </row>
    <row r="763" spans="4:7" x14ac:dyDescent="0.55000000000000004">
      <c r="D763">
        <v>0.56774524637148716</v>
      </c>
      <c r="E763" s="5">
        <f t="shared" si="35"/>
        <v>0.2102063024108905</v>
      </c>
      <c r="F763" s="5">
        <f t="shared" si="36"/>
        <v>0.28530945361633564</v>
      </c>
      <c r="G763">
        <f t="shared" si="37"/>
        <v>0</v>
      </c>
    </row>
    <row r="764" spans="4:7" x14ac:dyDescent="0.55000000000000004">
      <c r="D764">
        <v>0.92635900728055276</v>
      </c>
      <c r="E764" s="5">
        <f t="shared" si="35"/>
        <v>0.27981762339690819</v>
      </c>
      <c r="F764" s="5">
        <f t="shared" si="36"/>
        <v>0.38972643509536242</v>
      </c>
      <c r="G764">
        <f t="shared" si="37"/>
        <v>0</v>
      </c>
    </row>
    <row r="765" spans="4:7" x14ac:dyDescent="0.55000000000000004">
      <c r="D765">
        <v>-1.0439293873787392</v>
      </c>
      <c r="E765" s="5">
        <f t="shared" si="35"/>
        <v>-0.10263947341938476</v>
      </c>
      <c r="F765" s="5">
        <f t="shared" si="36"/>
        <v>-0.18395921012907712</v>
      </c>
      <c r="G765">
        <f t="shared" si="37"/>
        <v>1</v>
      </c>
    </row>
    <row r="766" spans="4:7" x14ac:dyDescent="0.55000000000000004">
      <c r="D766">
        <v>-0.1349303602182772</v>
      </c>
      <c r="E766" s="5">
        <f t="shared" si="35"/>
        <v>7.3808365322893421E-2</v>
      </c>
      <c r="F766" s="5">
        <f t="shared" si="36"/>
        <v>8.0712547984340022E-2</v>
      </c>
      <c r="G766">
        <f t="shared" si="37"/>
        <v>0</v>
      </c>
    </row>
    <row r="767" spans="4:7" x14ac:dyDescent="0.55000000000000004">
      <c r="D767">
        <v>0.15805198927409947</v>
      </c>
      <c r="E767" s="5">
        <f t="shared" si="35"/>
        <v>0.13067982592176045</v>
      </c>
      <c r="F767" s="5">
        <f t="shared" si="36"/>
        <v>0.16601973888264077</v>
      </c>
      <c r="G767">
        <f t="shared" si="37"/>
        <v>0</v>
      </c>
    </row>
    <row r="768" spans="4:7" x14ac:dyDescent="0.55000000000000004">
      <c r="D768">
        <v>-0.91223682829877362</v>
      </c>
      <c r="E768" s="5">
        <f t="shared" si="35"/>
        <v>-7.7076335578976723E-2</v>
      </c>
      <c r="F768" s="5">
        <f t="shared" si="36"/>
        <v>-0.14561450336846515</v>
      </c>
      <c r="G768">
        <f t="shared" si="37"/>
        <v>1</v>
      </c>
    </row>
    <row r="769" spans="4:7" x14ac:dyDescent="0.55000000000000004">
      <c r="D769">
        <v>1.4472334441961721</v>
      </c>
      <c r="E769" s="5">
        <f t="shared" si="35"/>
        <v>0.38092572792036672</v>
      </c>
      <c r="F769" s="5">
        <f t="shared" si="36"/>
        <v>0.54138859188054989</v>
      </c>
      <c r="G769">
        <f t="shared" si="37"/>
        <v>0</v>
      </c>
    </row>
    <row r="770" spans="4:7" x14ac:dyDescent="0.55000000000000004">
      <c r="D770">
        <v>1.2146642802690621</v>
      </c>
      <c r="E770" s="5">
        <f t="shared" si="35"/>
        <v>0.33578120619163976</v>
      </c>
      <c r="F770" s="5">
        <f t="shared" si="36"/>
        <v>0.47367180928745944</v>
      </c>
      <c r="G770">
        <f t="shared" si="37"/>
        <v>0</v>
      </c>
    </row>
    <row r="771" spans="4:7" x14ac:dyDescent="0.55000000000000004">
      <c r="D771">
        <v>1.4306488083093427</v>
      </c>
      <c r="E771" s="5">
        <f t="shared" si="35"/>
        <v>0.3777064470728394</v>
      </c>
      <c r="F771" s="5">
        <f t="shared" si="36"/>
        <v>0.53655967060925946</v>
      </c>
      <c r="G771">
        <f t="shared" si="37"/>
        <v>0</v>
      </c>
    </row>
    <row r="772" spans="4:7" x14ac:dyDescent="0.55000000000000004">
      <c r="D772">
        <v>-2.2153835743665695</v>
      </c>
      <c r="E772" s="5">
        <f t="shared" ref="E772:E835" si="38">$B$3+D772*$B$4</f>
        <v>-0.33003307154598349</v>
      </c>
      <c r="F772" s="5">
        <f t="shared" ref="F772:F835" si="39">($B$2*(1+E772)-$B$5*(1+$B$6))/$B$7-1</f>
        <v>-0.52504960731897521</v>
      </c>
      <c r="G772">
        <f t="shared" ref="G772:G835" si="40">IF(F772&lt;E772,1,0)</f>
        <v>1</v>
      </c>
    </row>
    <row r="773" spans="4:7" x14ac:dyDescent="0.55000000000000004">
      <c r="D773">
        <v>0.74009449235745706</v>
      </c>
      <c r="E773" s="5">
        <f t="shared" si="38"/>
        <v>0.24366140088121854</v>
      </c>
      <c r="F773" s="5">
        <f t="shared" si="39"/>
        <v>0.33549210132182772</v>
      </c>
      <c r="G773">
        <f t="shared" si="40"/>
        <v>0</v>
      </c>
    </row>
    <row r="774" spans="4:7" x14ac:dyDescent="0.55000000000000004">
      <c r="D774">
        <v>-1.5092700778041035</v>
      </c>
      <c r="E774" s="5">
        <f t="shared" si="38"/>
        <v>-0.19296779792913238</v>
      </c>
      <c r="F774" s="5">
        <f t="shared" si="39"/>
        <v>-0.31945169689369868</v>
      </c>
      <c r="G774">
        <f t="shared" si="40"/>
        <v>1</v>
      </c>
    </row>
    <row r="775" spans="4:7" x14ac:dyDescent="0.55000000000000004">
      <c r="D775">
        <v>-1.6548028725082986</v>
      </c>
      <c r="E775" s="5">
        <f t="shared" si="38"/>
        <v>-0.22121749493034365</v>
      </c>
      <c r="F775" s="5">
        <f t="shared" si="39"/>
        <v>-0.36182624239551531</v>
      </c>
      <c r="G775">
        <f t="shared" si="40"/>
        <v>1</v>
      </c>
    </row>
    <row r="776" spans="4:7" x14ac:dyDescent="0.55000000000000004">
      <c r="D776">
        <v>-0.56003273130045272</v>
      </c>
      <c r="E776" s="5">
        <f t="shared" si="38"/>
        <v>-8.7092088223502812E-3</v>
      </c>
      <c r="F776" s="5">
        <f t="shared" si="39"/>
        <v>-4.3063813233525483E-2</v>
      </c>
      <c r="G776">
        <f t="shared" si="40"/>
        <v>1</v>
      </c>
    </row>
    <row r="777" spans="4:7" x14ac:dyDescent="0.55000000000000004">
      <c r="D777">
        <v>-1.1967813406954519</v>
      </c>
      <c r="E777" s="5">
        <f t="shared" si="38"/>
        <v>-0.13230990870523968</v>
      </c>
      <c r="F777" s="5">
        <f t="shared" si="39"/>
        <v>-0.22846486305785962</v>
      </c>
      <c r="G777">
        <f t="shared" si="40"/>
        <v>1</v>
      </c>
    </row>
    <row r="778" spans="4:7" x14ac:dyDescent="0.55000000000000004">
      <c r="D778">
        <v>-0.96670873972470872</v>
      </c>
      <c r="E778" s="5">
        <f t="shared" si="38"/>
        <v>-8.7650000408180523E-2</v>
      </c>
      <c r="F778" s="5">
        <f t="shared" si="39"/>
        <v>-0.16147500061227071</v>
      </c>
      <c r="G778">
        <f t="shared" si="40"/>
        <v>1</v>
      </c>
    </row>
    <row r="779" spans="4:7" x14ac:dyDescent="0.55000000000000004">
      <c r="D779">
        <v>-0.23827169570722617</v>
      </c>
      <c r="E779" s="5">
        <f t="shared" si="38"/>
        <v>5.3748547044840521E-2</v>
      </c>
      <c r="F779" s="5">
        <f t="shared" si="39"/>
        <v>5.0622820567260751E-2</v>
      </c>
      <c r="G779">
        <f t="shared" si="40"/>
        <v>1</v>
      </c>
    </row>
    <row r="780" spans="4:7" x14ac:dyDescent="0.55000000000000004">
      <c r="D780">
        <v>-2.0785410015378147</v>
      </c>
      <c r="E780" s="5">
        <f t="shared" si="38"/>
        <v>-0.30347025299270874</v>
      </c>
      <c r="F780" s="5">
        <f t="shared" si="39"/>
        <v>-0.48520537948906295</v>
      </c>
      <c r="G780">
        <f t="shared" si="40"/>
        <v>1</v>
      </c>
    </row>
    <row r="781" spans="4:7" x14ac:dyDescent="0.55000000000000004">
      <c r="D781">
        <v>-0.96281155492761172</v>
      </c>
      <c r="E781" s="5">
        <f t="shared" si="38"/>
        <v>-8.6893509131424046E-2</v>
      </c>
      <c r="F781" s="5">
        <f t="shared" si="39"/>
        <v>-0.16034026369713605</v>
      </c>
      <c r="G781">
        <f t="shared" si="40"/>
        <v>1</v>
      </c>
    </row>
    <row r="782" spans="4:7" x14ac:dyDescent="0.55000000000000004">
      <c r="D782">
        <v>-0.46007016862859018</v>
      </c>
      <c r="E782" s="5">
        <f t="shared" si="38"/>
        <v>1.0694748290439995E-2</v>
      </c>
      <c r="F782" s="5">
        <f t="shared" si="39"/>
        <v>-1.3957877564339971E-2</v>
      </c>
      <c r="G782">
        <f t="shared" si="40"/>
        <v>1</v>
      </c>
    </row>
    <row r="783" spans="4:7" x14ac:dyDescent="0.55000000000000004">
      <c r="D783">
        <v>1.0568123798293527</v>
      </c>
      <c r="E783" s="5">
        <f t="shared" si="38"/>
        <v>0.30514021996203483</v>
      </c>
      <c r="F783" s="5">
        <f t="shared" si="39"/>
        <v>0.42771032994305203</v>
      </c>
      <c r="G783">
        <f t="shared" si="40"/>
        <v>0</v>
      </c>
    </row>
    <row r="784" spans="4:7" x14ac:dyDescent="0.55000000000000004">
      <c r="D784">
        <v>-0.3526827185851289</v>
      </c>
      <c r="E784" s="5">
        <f t="shared" si="38"/>
        <v>3.1539966934296962E-2</v>
      </c>
      <c r="F784" s="5">
        <f t="shared" si="39"/>
        <v>1.7309950401445562E-2</v>
      </c>
      <c r="G784">
        <f t="shared" si="40"/>
        <v>1</v>
      </c>
    </row>
    <row r="785" spans="4:7" x14ac:dyDescent="0.55000000000000004">
      <c r="D785">
        <v>0.6743698577338364</v>
      </c>
      <c r="E785" s="5">
        <f t="shared" si="38"/>
        <v>0.23090344472840454</v>
      </c>
      <c r="F785" s="5">
        <f t="shared" si="39"/>
        <v>0.31635516709260703</v>
      </c>
      <c r="G785">
        <f t="shared" si="40"/>
        <v>0</v>
      </c>
    </row>
    <row r="786" spans="4:7" x14ac:dyDescent="0.55000000000000004">
      <c r="D786">
        <v>0.51041638471360784</v>
      </c>
      <c r="E786" s="5">
        <f t="shared" si="38"/>
        <v>0.1990780685681251</v>
      </c>
      <c r="F786" s="5">
        <f t="shared" si="39"/>
        <v>0.26861710285218754</v>
      </c>
      <c r="G786">
        <f t="shared" si="40"/>
        <v>0</v>
      </c>
    </row>
    <row r="787" spans="4:7" x14ac:dyDescent="0.55000000000000004">
      <c r="D787">
        <v>4.0287204683409072E-2</v>
      </c>
      <c r="E787" s="5">
        <f t="shared" si="38"/>
        <v>0.10782023960747369</v>
      </c>
      <c r="F787" s="5">
        <f t="shared" si="39"/>
        <v>0.13173035941121047</v>
      </c>
      <c r="G787">
        <f t="shared" si="40"/>
        <v>0</v>
      </c>
    </row>
    <row r="788" spans="4:7" x14ac:dyDescent="0.55000000000000004">
      <c r="D788">
        <v>0.3538229975674767</v>
      </c>
      <c r="E788" s="5">
        <f t="shared" si="38"/>
        <v>0.16868137517497567</v>
      </c>
      <c r="F788" s="5">
        <f t="shared" si="39"/>
        <v>0.22302206276246328</v>
      </c>
      <c r="G788">
        <f t="shared" si="40"/>
        <v>0</v>
      </c>
    </row>
    <row r="789" spans="4:7" x14ac:dyDescent="0.55000000000000004">
      <c r="D789">
        <v>-0.37434006117109675</v>
      </c>
      <c r="E789" s="5">
        <f t="shared" si="38"/>
        <v>2.7336011618599401E-2</v>
      </c>
      <c r="F789" s="5">
        <f t="shared" si="39"/>
        <v>1.1004017427899138E-2</v>
      </c>
      <c r="G789">
        <f t="shared" si="40"/>
        <v>1</v>
      </c>
    </row>
    <row r="790" spans="4:7" x14ac:dyDescent="0.55000000000000004">
      <c r="D790">
        <v>1.6174681150005199</v>
      </c>
      <c r="E790" s="5">
        <f t="shared" si="38"/>
        <v>0.41397036146223298</v>
      </c>
      <c r="F790" s="5">
        <f t="shared" si="39"/>
        <v>0.59095554219334945</v>
      </c>
      <c r="G790">
        <f t="shared" si="40"/>
        <v>0</v>
      </c>
    </row>
    <row r="791" spans="4:7" x14ac:dyDescent="0.55000000000000004">
      <c r="D791">
        <v>-4.2355168261565268E-2</v>
      </c>
      <c r="E791" s="5">
        <f t="shared" si="38"/>
        <v>9.1778343346896135E-2</v>
      </c>
      <c r="F791" s="5">
        <f t="shared" si="39"/>
        <v>0.10766751502034411</v>
      </c>
      <c r="G791">
        <f t="shared" si="40"/>
        <v>0</v>
      </c>
    </row>
    <row r="792" spans="4:7" x14ac:dyDescent="0.55000000000000004">
      <c r="D792">
        <v>0.91583615358103998</v>
      </c>
      <c r="E792" s="5">
        <f t="shared" si="38"/>
        <v>0.27777500867763805</v>
      </c>
      <c r="F792" s="5">
        <f t="shared" si="39"/>
        <v>0.38666251301645715</v>
      </c>
      <c r="G792">
        <f t="shared" si="40"/>
        <v>0</v>
      </c>
    </row>
    <row r="793" spans="4:7" x14ac:dyDescent="0.55000000000000004">
      <c r="D793">
        <v>0.85515011960524134</v>
      </c>
      <c r="E793" s="5">
        <f t="shared" si="38"/>
        <v>0.26599510659092224</v>
      </c>
      <c r="F793" s="5">
        <f t="shared" si="39"/>
        <v>0.3689926598863833</v>
      </c>
      <c r="G793">
        <f t="shared" si="40"/>
        <v>0</v>
      </c>
    </row>
    <row r="794" spans="4:7" x14ac:dyDescent="0.55000000000000004">
      <c r="D794">
        <v>1.1749943951144814</v>
      </c>
      <c r="E794" s="5">
        <f t="shared" si="38"/>
        <v>0.32808079586166861</v>
      </c>
      <c r="F794" s="5">
        <f t="shared" si="39"/>
        <v>0.46212119379250294</v>
      </c>
      <c r="G794">
        <f t="shared" si="40"/>
        <v>0</v>
      </c>
    </row>
    <row r="795" spans="4:7" x14ac:dyDescent="0.55000000000000004">
      <c r="D795">
        <v>-1.7989714251598343</v>
      </c>
      <c r="E795" s="5">
        <f t="shared" si="38"/>
        <v>-0.24920237584867638</v>
      </c>
      <c r="F795" s="5">
        <f t="shared" si="39"/>
        <v>-0.40380356377301452</v>
      </c>
      <c r="G795">
        <f t="shared" si="40"/>
        <v>1</v>
      </c>
    </row>
    <row r="796" spans="4:7" x14ac:dyDescent="0.55000000000000004">
      <c r="D796">
        <v>3.7225618143565953E-2</v>
      </c>
      <c r="E796" s="5">
        <f t="shared" si="38"/>
        <v>0.10722594818148033</v>
      </c>
      <c r="F796" s="5">
        <f t="shared" si="39"/>
        <v>0.1308389222722206</v>
      </c>
      <c r="G796">
        <f t="shared" si="40"/>
        <v>0</v>
      </c>
    </row>
    <row r="797" spans="4:7" x14ac:dyDescent="0.55000000000000004">
      <c r="D797">
        <v>-0.16518242773599923</v>
      </c>
      <c r="E797" s="5">
        <f t="shared" si="38"/>
        <v>6.7936068685060774E-2</v>
      </c>
      <c r="F797" s="5">
        <f t="shared" si="39"/>
        <v>7.1904103027591093E-2</v>
      </c>
      <c r="G797">
        <f t="shared" si="40"/>
        <v>0</v>
      </c>
    </row>
    <row r="798" spans="4:7" x14ac:dyDescent="0.55000000000000004">
      <c r="D798">
        <v>4.3426098272902891E-2</v>
      </c>
      <c r="E798" s="5">
        <f t="shared" si="38"/>
        <v>0.1084295372781635</v>
      </c>
      <c r="F798" s="5">
        <f t="shared" si="39"/>
        <v>0.1326443059172453</v>
      </c>
      <c r="G798">
        <f t="shared" si="40"/>
        <v>0</v>
      </c>
    </row>
    <row r="799" spans="4:7" x14ac:dyDescent="0.55000000000000004">
      <c r="D799">
        <v>3.7072140912641771E-2</v>
      </c>
      <c r="E799" s="5">
        <f t="shared" si="38"/>
        <v>0.10719615637215649</v>
      </c>
      <c r="F799" s="5">
        <f t="shared" si="39"/>
        <v>0.13079423455823447</v>
      </c>
      <c r="G799">
        <f t="shared" si="40"/>
        <v>0</v>
      </c>
    </row>
    <row r="800" spans="4:7" x14ac:dyDescent="0.55000000000000004">
      <c r="D800">
        <v>1.8903028831118718</v>
      </c>
      <c r="E800" s="5">
        <f t="shared" si="38"/>
        <v>0.46693092987712143</v>
      </c>
      <c r="F800" s="5">
        <f t="shared" si="39"/>
        <v>0.67039639481568192</v>
      </c>
      <c r="G800">
        <f t="shared" si="40"/>
        <v>0</v>
      </c>
    </row>
    <row r="801" spans="4:7" x14ac:dyDescent="0.55000000000000004">
      <c r="D801">
        <v>-0.85107785707805306</v>
      </c>
      <c r="E801" s="5">
        <f t="shared" si="38"/>
        <v>-6.520463058352971E-2</v>
      </c>
      <c r="F801" s="5">
        <f t="shared" si="39"/>
        <v>-0.12780694587529451</v>
      </c>
      <c r="G801">
        <f t="shared" si="40"/>
        <v>1</v>
      </c>
    </row>
    <row r="802" spans="4:7" x14ac:dyDescent="0.55000000000000004">
      <c r="D802">
        <v>-0.20815377865801565</v>
      </c>
      <c r="E802" s="5">
        <f t="shared" si="38"/>
        <v>5.959480343452344E-2</v>
      </c>
      <c r="F802" s="5">
        <f t="shared" si="39"/>
        <v>5.9392205151785227E-2</v>
      </c>
      <c r="G802">
        <f t="shared" si="40"/>
        <v>1</v>
      </c>
    </row>
    <row r="803" spans="4:7" x14ac:dyDescent="0.55000000000000004">
      <c r="D803">
        <v>1.5797922969795763E-2</v>
      </c>
      <c r="E803" s="5">
        <f t="shared" si="38"/>
        <v>0.10306657023973401</v>
      </c>
      <c r="F803" s="5">
        <f t="shared" si="39"/>
        <v>0.12459985535960105</v>
      </c>
      <c r="G803">
        <f t="shared" si="40"/>
        <v>0</v>
      </c>
    </row>
    <row r="804" spans="4:7" x14ac:dyDescent="0.55000000000000004">
      <c r="D804">
        <v>-1.0795497473736759</v>
      </c>
      <c r="E804" s="5">
        <f t="shared" si="38"/>
        <v>-0.10955382134334465</v>
      </c>
      <c r="F804" s="5">
        <f t="shared" si="39"/>
        <v>-0.19433073201501705</v>
      </c>
      <c r="G804">
        <f t="shared" si="40"/>
        <v>1</v>
      </c>
    </row>
    <row r="805" spans="4:7" x14ac:dyDescent="0.55000000000000004">
      <c r="D805">
        <v>0.23858660824771505</v>
      </c>
      <c r="E805" s="5">
        <f t="shared" si="38"/>
        <v>0.14631258133429056</v>
      </c>
      <c r="F805" s="5">
        <f t="shared" si="39"/>
        <v>0.1894688720014357</v>
      </c>
      <c r="G805">
        <f t="shared" si="40"/>
        <v>0</v>
      </c>
    </row>
    <row r="806" spans="4:7" x14ac:dyDescent="0.55000000000000004">
      <c r="D806">
        <v>-8.9880813902709633E-3</v>
      </c>
      <c r="E806" s="5">
        <f t="shared" si="38"/>
        <v>9.825530337396822E-2</v>
      </c>
      <c r="F806" s="5">
        <f t="shared" si="39"/>
        <v>0.11738295506095242</v>
      </c>
      <c r="G806">
        <f t="shared" si="40"/>
        <v>0</v>
      </c>
    </row>
    <row r="807" spans="4:7" x14ac:dyDescent="0.55000000000000004">
      <c r="D807">
        <v>5.3933035815134645E-3</v>
      </c>
      <c r="E807" s="5">
        <f t="shared" si="38"/>
        <v>0.10104690624764666</v>
      </c>
      <c r="F807" s="5">
        <f t="shared" si="39"/>
        <v>0.12157035937147009</v>
      </c>
      <c r="G807">
        <f t="shared" si="40"/>
        <v>0</v>
      </c>
    </row>
    <row r="808" spans="4:7" x14ac:dyDescent="0.55000000000000004">
      <c r="D808">
        <v>-0.43327418097760528</v>
      </c>
      <c r="E808" s="5">
        <f t="shared" si="38"/>
        <v>1.5896177518313556E-2</v>
      </c>
      <c r="F808" s="5">
        <f t="shared" si="39"/>
        <v>-6.1557337225296438E-3</v>
      </c>
      <c r="G808">
        <f t="shared" si="40"/>
        <v>1</v>
      </c>
    </row>
    <row r="809" spans="4:7" x14ac:dyDescent="0.55000000000000004">
      <c r="D809">
        <v>1.0252483662043232</v>
      </c>
      <c r="E809" s="5">
        <f t="shared" si="38"/>
        <v>0.29901325852450061</v>
      </c>
      <c r="F809" s="5">
        <f t="shared" si="39"/>
        <v>0.41851988778675109</v>
      </c>
      <c r="G809">
        <f t="shared" si="40"/>
        <v>0</v>
      </c>
    </row>
    <row r="810" spans="4:7" x14ac:dyDescent="0.55000000000000004">
      <c r="D810">
        <v>-1.0791382010211237</v>
      </c>
      <c r="E810" s="5">
        <f t="shared" si="38"/>
        <v>-0.10947393515834294</v>
      </c>
      <c r="F810" s="5">
        <f t="shared" si="39"/>
        <v>-0.19421090273751429</v>
      </c>
      <c r="G810">
        <f t="shared" si="40"/>
        <v>1</v>
      </c>
    </row>
    <row r="811" spans="4:7" x14ac:dyDescent="0.55000000000000004">
      <c r="D811">
        <v>0.47740172703925055</v>
      </c>
      <c r="E811" s="5">
        <f t="shared" si="38"/>
        <v>0.19266951936246335</v>
      </c>
      <c r="F811" s="5">
        <f t="shared" si="39"/>
        <v>0.25900427904369505</v>
      </c>
      <c r="G811">
        <f t="shared" si="40"/>
        <v>0</v>
      </c>
    </row>
    <row r="812" spans="4:7" x14ac:dyDescent="0.55000000000000004">
      <c r="D812">
        <v>-4.2660985855036415E-2</v>
      </c>
      <c r="E812" s="5">
        <f t="shared" si="38"/>
        <v>9.1718980408317524E-2</v>
      </c>
      <c r="F812" s="5">
        <f t="shared" si="39"/>
        <v>0.1075784706124765</v>
      </c>
      <c r="G812">
        <f t="shared" si="40"/>
        <v>0</v>
      </c>
    </row>
    <row r="813" spans="4:7" x14ac:dyDescent="0.55000000000000004">
      <c r="D813">
        <v>-0.79704022937221453</v>
      </c>
      <c r="E813" s="5">
        <f t="shared" si="38"/>
        <v>-5.4715265540708907E-2</v>
      </c>
      <c r="F813" s="5">
        <f t="shared" si="39"/>
        <v>-0.11207289831106337</v>
      </c>
      <c r="G813">
        <f t="shared" si="40"/>
        <v>1</v>
      </c>
    </row>
    <row r="814" spans="4:7" x14ac:dyDescent="0.55000000000000004">
      <c r="D814">
        <v>1.2368786883598659</v>
      </c>
      <c r="E814" s="5">
        <f t="shared" si="38"/>
        <v>0.34009329474117944</v>
      </c>
      <c r="F814" s="5">
        <f t="shared" si="39"/>
        <v>0.48013994211176914</v>
      </c>
      <c r="G814">
        <f t="shared" si="40"/>
        <v>0</v>
      </c>
    </row>
    <row r="815" spans="4:7" x14ac:dyDescent="0.55000000000000004">
      <c r="D815">
        <v>2.2855783754494041</v>
      </c>
      <c r="E815" s="5">
        <f t="shared" si="38"/>
        <v>0.54365874173036288</v>
      </c>
      <c r="F815" s="5">
        <f t="shared" si="39"/>
        <v>0.78548811259554419</v>
      </c>
      <c r="G815">
        <f t="shared" si="40"/>
        <v>0</v>
      </c>
    </row>
    <row r="816" spans="4:7" x14ac:dyDescent="0.55000000000000004">
      <c r="D816">
        <v>0.18973992155224551</v>
      </c>
      <c r="E816" s="5">
        <f t="shared" si="38"/>
        <v>0.13683084148682279</v>
      </c>
      <c r="F816" s="5">
        <f t="shared" si="39"/>
        <v>0.17524626223023398</v>
      </c>
      <c r="G816">
        <f t="shared" si="40"/>
        <v>0</v>
      </c>
    </row>
    <row r="817" spans="4:7" x14ac:dyDescent="0.55000000000000004">
      <c r="D817">
        <v>1.003620582196163</v>
      </c>
      <c r="E817" s="5">
        <f t="shared" si="38"/>
        <v>0.29481504089059873</v>
      </c>
      <c r="F817" s="5">
        <f t="shared" si="39"/>
        <v>0.41222256133589807</v>
      </c>
      <c r="G817">
        <f t="shared" si="40"/>
        <v>0</v>
      </c>
    </row>
    <row r="818" spans="4:7" x14ac:dyDescent="0.55000000000000004">
      <c r="D818">
        <v>-2.5974031814257614E-2</v>
      </c>
      <c r="E818" s="5">
        <f t="shared" si="38"/>
        <v>9.4958122462060757E-2</v>
      </c>
      <c r="F818" s="5">
        <f t="shared" si="39"/>
        <v>0.1124371836930913</v>
      </c>
      <c r="G818">
        <f t="shared" si="40"/>
        <v>0</v>
      </c>
    </row>
    <row r="819" spans="4:7" x14ac:dyDescent="0.55000000000000004">
      <c r="D819">
        <v>-1.165435605798848</v>
      </c>
      <c r="E819" s="5">
        <f t="shared" si="38"/>
        <v>-0.12622531784096605</v>
      </c>
      <c r="F819" s="5">
        <f t="shared" si="39"/>
        <v>-0.21933797676144895</v>
      </c>
      <c r="G819">
        <f t="shared" si="40"/>
        <v>1</v>
      </c>
    </row>
    <row r="820" spans="4:7" x14ac:dyDescent="0.55000000000000004">
      <c r="D820">
        <v>-0.69652742240577936</v>
      </c>
      <c r="E820" s="5">
        <f t="shared" si="38"/>
        <v>-3.5204499274490958E-2</v>
      </c>
      <c r="F820" s="5">
        <f t="shared" si="39"/>
        <v>-8.280674891173645E-2</v>
      </c>
      <c r="G820">
        <f t="shared" si="40"/>
        <v>1</v>
      </c>
    </row>
    <row r="821" spans="4:7" x14ac:dyDescent="0.55000000000000004">
      <c r="D821">
        <v>-1.2788950698450208</v>
      </c>
      <c r="E821" s="5">
        <f t="shared" si="38"/>
        <v>-0.1482491887337018</v>
      </c>
      <c r="F821" s="5">
        <f t="shared" si="39"/>
        <v>-0.25237378310055281</v>
      </c>
      <c r="G821">
        <f t="shared" si="40"/>
        <v>1</v>
      </c>
    </row>
    <row r="822" spans="4:7" x14ac:dyDescent="0.55000000000000004">
      <c r="D822">
        <v>0.10334133548894897</v>
      </c>
      <c r="E822" s="5">
        <f t="shared" si="38"/>
        <v>0.12005981827805287</v>
      </c>
      <c r="F822" s="5">
        <f t="shared" si="39"/>
        <v>0.15008972741707916</v>
      </c>
      <c r="G822">
        <f t="shared" si="40"/>
        <v>0</v>
      </c>
    </row>
    <row r="823" spans="4:7" x14ac:dyDescent="0.55000000000000004">
      <c r="D823">
        <v>0.39733322410029359</v>
      </c>
      <c r="E823" s="5">
        <f t="shared" si="38"/>
        <v>0.17712724277825004</v>
      </c>
      <c r="F823" s="5">
        <f t="shared" si="39"/>
        <v>0.23569086416737473</v>
      </c>
      <c r="G823">
        <f t="shared" si="40"/>
        <v>0</v>
      </c>
    </row>
    <row r="824" spans="4:7" x14ac:dyDescent="0.55000000000000004">
      <c r="D824">
        <v>-1.3644375940202735</v>
      </c>
      <c r="E824" s="5">
        <f t="shared" si="38"/>
        <v>-0.16485403985046537</v>
      </c>
      <c r="F824" s="5">
        <f t="shared" si="39"/>
        <v>-0.27728105977569817</v>
      </c>
      <c r="G824">
        <f t="shared" si="40"/>
        <v>1</v>
      </c>
    </row>
    <row r="825" spans="4:7" x14ac:dyDescent="0.55000000000000004">
      <c r="D825">
        <v>0.65339008870068938</v>
      </c>
      <c r="E825" s="5">
        <f t="shared" si="38"/>
        <v>0.22683101473387002</v>
      </c>
      <c r="F825" s="5">
        <f t="shared" si="39"/>
        <v>0.31024652210080483</v>
      </c>
      <c r="G825">
        <f t="shared" si="40"/>
        <v>0</v>
      </c>
    </row>
    <row r="826" spans="4:7" x14ac:dyDescent="0.55000000000000004">
      <c r="D826">
        <v>0.28912609195685945</v>
      </c>
      <c r="E826" s="5">
        <f t="shared" si="38"/>
        <v>0.15612291380459686</v>
      </c>
      <c r="F826" s="5">
        <f t="shared" si="39"/>
        <v>0.2041843707068951</v>
      </c>
      <c r="G826">
        <f t="shared" si="40"/>
        <v>0</v>
      </c>
    </row>
    <row r="827" spans="4:7" x14ac:dyDescent="0.55000000000000004">
      <c r="D827">
        <v>1.1812699085567147</v>
      </c>
      <c r="E827" s="5">
        <f t="shared" si="38"/>
        <v>0.32929894984291008</v>
      </c>
      <c r="F827" s="5">
        <f t="shared" si="39"/>
        <v>0.46394842476436526</v>
      </c>
      <c r="G827">
        <f t="shared" si="40"/>
        <v>0</v>
      </c>
    </row>
    <row r="828" spans="4:7" x14ac:dyDescent="0.55000000000000004">
      <c r="D828">
        <v>0.61337459555943497</v>
      </c>
      <c r="E828" s="5">
        <f t="shared" si="38"/>
        <v>0.21906351766290294</v>
      </c>
      <c r="F828" s="5">
        <f t="shared" si="39"/>
        <v>0.29859527649435447</v>
      </c>
      <c r="G828">
        <f t="shared" si="40"/>
        <v>0</v>
      </c>
    </row>
    <row r="829" spans="4:7" x14ac:dyDescent="0.55000000000000004">
      <c r="D829">
        <v>1.0954408935504034</v>
      </c>
      <c r="E829" s="5">
        <f t="shared" si="38"/>
        <v>0.312638487348742</v>
      </c>
      <c r="F829" s="5">
        <f t="shared" si="39"/>
        <v>0.43895773102311297</v>
      </c>
      <c r="G829">
        <f t="shared" si="40"/>
        <v>0</v>
      </c>
    </row>
    <row r="830" spans="4:7" x14ac:dyDescent="0.55000000000000004">
      <c r="D830">
        <v>-2.02817318495363</v>
      </c>
      <c r="E830" s="5">
        <f t="shared" si="38"/>
        <v>-0.29369324321283136</v>
      </c>
      <c r="F830" s="5">
        <f t="shared" si="39"/>
        <v>-0.47053986481924714</v>
      </c>
      <c r="G830">
        <f t="shared" si="40"/>
        <v>1</v>
      </c>
    </row>
    <row r="831" spans="4:7" x14ac:dyDescent="0.55000000000000004">
      <c r="D831">
        <v>0.2117519670719048</v>
      </c>
      <c r="E831" s="5">
        <f t="shared" si="38"/>
        <v>0.1411036489840688</v>
      </c>
      <c r="F831" s="5">
        <f t="shared" si="39"/>
        <v>0.18165547347610334</v>
      </c>
      <c r="G831">
        <f t="shared" si="40"/>
        <v>0</v>
      </c>
    </row>
    <row r="832" spans="4:7" x14ac:dyDescent="0.55000000000000004">
      <c r="D832">
        <v>-0.98941882242797874</v>
      </c>
      <c r="E832" s="5">
        <f t="shared" si="38"/>
        <v>-9.2058305467832724E-2</v>
      </c>
      <c r="F832" s="5">
        <f t="shared" si="39"/>
        <v>-0.1680874582017492</v>
      </c>
      <c r="G832">
        <f t="shared" si="40"/>
        <v>1</v>
      </c>
    </row>
    <row r="833" spans="4:7" x14ac:dyDescent="0.55000000000000004">
      <c r="D833">
        <v>-2.3157917894423008</v>
      </c>
      <c r="E833" s="5">
        <f t="shared" si="38"/>
        <v>-0.34952353524584739</v>
      </c>
      <c r="F833" s="5">
        <f t="shared" si="39"/>
        <v>-0.5542853028687712</v>
      </c>
      <c r="G833">
        <f t="shared" si="40"/>
        <v>1</v>
      </c>
    </row>
    <row r="834" spans="4:7" x14ac:dyDescent="0.55000000000000004">
      <c r="D834">
        <v>-1.3401972864812706</v>
      </c>
      <c r="E834" s="5">
        <f t="shared" si="38"/>
        <v>-0.16014869941785104</v>
      </c>
      <c r="F834" s="5">
        <f t="shared" si="39"/>
        <v>-0.27022304912677664</v>
      </c>
      <c r="G834">
        <f t="shared" si="40"/>
        <v>1</v>
      </c>
    </row>
    <row r="835" spans="4:7" x14ac:dyDescent="0.55000000000000004">
      <c r="D835">
        <v>-0.3639388523879461</v>
      </c>
      <c r="E835" s="5">
        <f t="shared" si="38"/>
        <v>2.9355013570479566E-2</v>
      </c>
      <c r="F835" s="5">
        <f t="shared" si="39"/>
        <v>1.4032520355719447E-2</v>
      </c>
      <c r="G835">
        <f t="shared" si="40"/>
        <v>1</v>
      </c>
    </row>
    <row r="836" spans="4:7" x14ac:dyDescent="0.55000000000000004">
      <c r="D836">
        <v>-0.33701326174195856</v>
      </c>
      <c r="E836" s="5">
        <f t="shared" ref="E836:E899" si="41">$B$3+D836*$B$4</f>
        <v>3.4581600326226591E-2</v>
      </c>
      <c r="F836" s="5">
        <f t="shared" ref="F836:F899" si="42">($B$2*(1+E836)-$B$5*(1+$B$6))/$B$7-1</f>
        <v>2.1872400489340027E-2</v>
      </c>
      <c r="G836">
        <f t="shared" ref="G836:G899" si="43">IF(F836&lt;E836,1,0)</f>
        <v>1</v>
      </c>
    </row>
    <row r="837" spans="4:7" x14ac:dyDescent="0.55000000000000004">
      <c r="D837">
        <v>-0.27829628379549831</v>
      </c>
      <c r="E837" s="5">
        <f t="shared" si="41"/>
        <v>4.5979284533320938E-2</v>
      </c>
      <c r="F837" s="5">
        <f t="shared" si="42"/>
        <v>3.8968926799981318E-2</v>
      </c>
      <c r="G837">
        <f t="shared" si="43"/>
        <v>1</v>
      </c>
    </row>
    <row r="838" spans="4:7" x14ac:dyDescent="0.55000000000000004">
      <c r="D838">
        <v>-0.89852164819603786</v>
      </c>
      <c r="E838" s="5">
        <f t="shared" si="41"/>
        <v>-7.4414051225770661E-2</v>
      </c>
      <c r="F838" s="5">
        <f t="shared" si="42"/>
        <v>-0.1416210768386561</v>
      </c>
      <c r="G838">
        <f t="shared" si="43"/>
        <v>1</v>
      </c>
    </row>
    <row r="839" spans="4:7" x14ac:dyDescent="0.55000000000000004">
      <c r="D839">
        <v>0.41794805838435423</v>
      </c>
      <c r="E839" s="5">
        <f t="shared" si="41"/>
        <v>0.18112883447061456</v>
      </c>
      <c r="F839" s="5">
        <f t="shared" si="42"/>
        <v>0.24169325170592204</v>
      </c>
      <c r="G839">
        <f t="shared" si="43"/>
        <v>0</v>
      </c>
    </row>
    <row r="840" spans="4:7" x14ac:dyDescent="0.55000000000000004">
      <c r="D840">
        <v>0.92108621174702421</v>
      </c>
      <c r="E840" s="5">
        <f t="shared" si="41"/>
        <v>0.27879410923658243</v>
      </c>
      <c r="F840" s="5">
        <f t="shared" si="42"/>
        <v>0.38819116385487362</v>
      </c>
      <c r="G840">
        <f t="shared" si="43"/>
        <v>0</v>
      </c>
    </row>
    <row r="841" spans="4:7" x14ac:dyDescent="0.55000000000000004">
      <c r="D841">
        <v>0.13215185390436091</v>
      </c>
      <c r="E841" s="5">
        <f t="shared" si="41"/>
        <v>0.12565229258831048</v>
      </c>
      <c r="F841" s="5">
        <f t="shared" si="42"/>
        <v>0.1584784388824656</v>
      </c>
      <c r="G841">
        <f t="shared" si="43"/>
        <v>0</v>
      </c>
    </row>
    <row r="842" spans="4:7" x14ac:dyDescent="0.55000000000000004">
      <c r="D842">
        <v>-0.60343381846905686</v>
      </c>
      <c r="E842" s="5">
        <f t="shared" si="41"/>
        <v>-1.7133891138994356E-2</v>
      </c>
      <c r="F842" s="5">
        <f t="shared" si="42"/>
        <v>-5.5700836708491464E-2</v>
      </c>
      <c r="G842">
        <f t="shared" si="43"/>
        <v>1</v>
      </c>
    </row>
    <row r="843" spans="4:7" x14ac:dyDescent="0.55000000000000004">
      <c r="D843">
        <v>-0.69789166445843875</v>
      </c>
      <c r="E843" s="5">
        <f t="shared" si="41"/>
        <v>-3.5469315357369524E-2</v>
      </c>
      <c r="F843" s="5">
        <f t="shared" si="42"/>
        <v>-8.3203973036054202E-2</v>
      </c>
      <c r="G843">
        <f t="shared" si="43"/>
        <v>1</v>
      </c>
    </row>
    <row r="844" spans="4:7" x14ac:dyDescent="0.55000000000000004">
      <c r="D844">
        <v>0.92741856860811822</v>
      </c>
      <c r="E844" s="5">
        <f t="shared" si="41"/>
        <v>0.28002329722127717</v>
      </c>
      <c r="F844" s="5">
        <f t="shared" si="42"/>
        <v>0.39003494583191611</v>
      </c>
      <c r="G844">
        <f t="shared" si="43"/>
        <v>0</v>
      </c>
    </row>
    <row r="845" spans="4:7" x14ac:dyDescent="0.55000000000000004">
      <c r="D845">
        <v>-8.1829512055264786E-2</v>
      </c>
      <c r="E845" s="5">
        <f t="shared" si="41"/>
        <v>8.411588998880426E-2</v>
      </c>
      <c r="F845" s="5">
        <f t="shared" si="42"/>
        <v>9.6173834983206197E-2</v>
      </c>
      <c r="G845">
        <f t="shared" si="43"/>
        <v>0</v>
      </c>
    </row>
    <row r="846" spans="4:7" x14ac:dyDescent="0.55000000000000004">
      <c r="D846">
        <v>-0.4732055458589457</v>
      </c>
      <c r="E846" s="5">
        <f t="shared" si="41"/>
        <v>8.1450107724573423E-3</v>
      </c>
      <c r="F846" s="5">
        <f t="shared" si="42"/>
        <v>-1.7782483841313868E-2</v>
      </c>
      <c r="G846">
        <f t="shared" si="43"/>
        <v>1</v>
      </c>
    </row>
    <row r="847" spans="4:7" x14ac:dyDescent="0.55000000000000004">
      <c r="D847">
        <v>-1.3214662430982571</v>
      </c>
      <c r="E847" s="5">
        <f t="shared" si="41"/>
        <v>-0.15651277459992807</v>
      </c>
      <c r="F847" s="5">
        <f t="shared" si="42"/>
        <v>-0.26476916189989208</v>
      </c>
      <c r="G847">
        <f t="shared" si="43"/>
        <v>1</v>
      </c>
    </row>
    <row r="848" spans="4:7" x14ac:dyDescent="0.55000000000000004">
      <c r="D848">
        <v>-0.65974859353445936</v>
      </c>
      <c r="E848" s="5">
        <f t="shared" si="41"/>
        <v>-2.8065278360153323E-2</v>
      </c>
      <c r="F848" s="5">
        <f t="shared" si="42"/>
        <v>-7.2097917540230094E-2</v>
      </c>
      <c r="G848">
        <f t="shared" si="43"/>
        <v>1</v>
      </c>
    </row>
    <row r="849" spans="4:7" x14ac:dyDescent="0.55000000000000004">
      <c r="D849">
        <v>-0.24197220227506477</v>
      </c>
      <c r="E849" s="5">
        <f t="shared" si="41"/>
        <v>5.3030233420032359E-2</v>
      </c>
      <c r="F849" s="5">
        <f t="shared" si="42"/>
        <v>4.954535013004846E-2</v>
      </c>
      <c r="G849">
        <f t="shared" si="43"/>
        <v>1</v>
      </c>
    </row>
    <row r="850" spans="4:7" x14ac:dyDescent="0.55000000000000004">
      <c r="D850">
        <v>-0.62244907894637436</v>
      </c>
      <c r="E850" s="5">
        <f t="shared" si="41"/>
        <v>-2.0824985974183724E-2</v>
      </c>
      <c r="F850" s="5">
        <f t="shared" si="42"/>
        <v>-6.1237478961275515E-2</v>
      </c>
      <c r="G850">
        <f t="shared" si="43"/>
        <v>1</v>
      </c>
    </row>
    <row r="851" spans="4:7" x14ac:dyDescent="0.55000000000000004">
      <c r="D851">
        <v>0.25838971851044334</v>
      </c>
      <c r="E851" s="5">
        <f t="shared" si="41"/>
        <v>0.15015660745734233</v>
      </c>
      <c r="F851" s="5">
        <f t="shared" si="42"/>
        <v>0.19523491118601344</v>
      </c>
      <c r="G851">
        <f t="shared" si="43"/>
        <v>0</v>
      </c>
    </row>
    <row r="852" spans="4:7" x14ac:dyDescent="0.55000000000000004">
      <c r="D852">
        <v>0.70190026235650294</v>
      </c>
      <c r="E852" s="5">
        <f t="shared" si="41"/>
        <v>0.2362474332808944</v>
      </c>
      <c r="F852" s="5">
        <f t="shared" si="42"/>
        <v>0.32437114992134153</v>
      </c>
      <c r="G852">
        <f t="shared" si="43"/>
        <v>0</v>
      </c>
    </row>
    <row r="853" spans="4:7" x14ac:dyDescent="0.55000000000000004">
      <c r="D853">
        <v>3.75314357370371E-2</v>
      </c>
      <c r="E853" s="5">
        <f t="shared" si="41"/>
        <v>0.10728531112005894</v>
      </c>
      <c r="F853" s="5">
        <f t="shared" si="42"/>
        <v>0.13092796668008844</v>
      </c>
      <c r="G853">
        <f t="shared" si="43"/>
        <v>0</v>
      </c>
    </row>
    <row r="854" spans="4:7" x14ac:dyDescent="0.55000000000000004">
      <c r="D854">
        <v>1.4739043763256632</v>
      </c>
      <c r="E854" s="5">
        <f t="shared" si="41"/>
        <v>0.38610288234064311</v>
      </c>
      <c r="F854" s="5">
        <f t="shared" si="42"/>
        <v>0.5491543235109646</v>
      </c>
      <c r="G854">
        <f t="shared" si="43"/>
        <v>0</v>
      </c>
    </row>
    <row r="855" spans="4:7" x14ac:dyDescent="0.55000000000000004">
      <c r="D855">
        <v>-1.6875674191396683</v>
      </c>
      <c r="E855" s="5">
        <f t="shared" si="41"/>
        <v>-0.22757749452081105</v>
      </c>
      <c r="F855" s="5">
        <f t="shared" si="42"/>
        <v>-0.37136624178121669</v>
      </c>
      <c r="G855">
        <f t="shared" si="43"/>
        <v>1</v>
      </c>
    </row>
    <row r="856" spans="4:7" x14ac:dyDescent="0.55000000000000004">
      <c r="D856">
        <v>1.1838892532978207</v>
      </c>
      <c r="E856" s="5">
        <f t="shared" si="41"/>
        <v>0.32980739672203702</v>
      </c>
      <c r="F856" s="5">
        <f t="shared" si="42"/>
        <v>0.4647110950830553</v>
      </c>
      <c r="G856">
        <f t="shared" si="43"/>
        <v>0</v>
      </c>
    </row>
    <row r="857" spans="4:7" x14ac:dyDescent="0.55000000000000004">
      <c r="D857">
        <v>6.5260792325716466E-2</v>
      </c>
      <c r="E857" s="5">
        <f t="shared" si="41"/>
        <v>0.11266791868463527</v>
      </c>
      <c r="F857" s="5">
        <f t="shared" si="42"/>
        <v>0.13900187802695285</v>
      </c>
      <c r="G857">
        <f t="shared" si="43"/>
        <v>0</v>
      </c>
    </row>
    <row r="858" spans="4:7" x14ac:dyDescent="0.55000000000000004">
      <c r="D858">
        <v>5.6830913308658637E-2</v>
      </c>
      <c r="E858" s="5">
        <f t="shared" si="41"/>
        <v>0.11103157597251467</v>
      </c>
      <c r="F858" s="5">
        <f t="shared" si="42"/>
        <v>0.13654736395877198</v>
      </c>
      <c r="G858">
        <f t="shared" si="43"/>
        <v>0</v>
      </c>
    </row>
    <row r="859" spans="4:7" x14ac:dyDescent="0.55000000000000004">
      <c r="D859">
        <v>-1.3671615306520835</v>
      </c>
      <c r="E859" s="5">
        <f t="shared" si="41"/>
        <v>-0.1653827892959463</v>
      </c>
      <c r="F859" s="5">
        <f t="shared" si="42"/>
        <v>-0.27807418394391947</v>
      </c>
      <c r="G859">
        <f t="shared" si="43"/>
        <v>1</v>
      </c>
    </row>
    <row r="860" spans="4:7" x14ac:dyDescent="0.55000000000000004">
      <c r="D860">
        <v>-0.79504388850182295</v>
      </c>
      <c r="E860" s="5">
        <f t="shared" si="41"/>
        <v>-5.4327751339429908E-2</v>
      </c>
      <c r="F860" s="5">
        <f t="shared" si="42"/>
        <v>-0.11149162700914494</v>
      </c>
      <c r="G860">
        <f t="shared" si="43"/>
        <v>1</v>
      </c>
    </row>
    <row r="861" spans="4:7" x14ac:dyDescent="0.55000000000000004">
      <c r="D861">
        <v>-0.12097075341443997</v>
      </c>
      <c r="E861" s="5">
        <f t="shared" si="41"/>
        <v>7.6518095890948545E-2</v>
      </c>
      <c r="F861" s="5">
        <f t="shared" si="42"/>
        <v>8.4777143836422875E-2</v>
      </c>
      <c r="G861">
        <f t="shared" si="43"/>
        <v>0</v>
      </c>
    </row>
    <row r="862" spans="4:7" x14ac:dyDescent="0.55000000000000004">
      <c r="D862">
        <v>-1.0040002962341532</v>
      </c>
      <c r="E862" s="5">
        <f t="shared" si="41"/>
        <v>-9.4888748033666676E-2</v>
      </c>
      <c r="F862" s="5">
        <f t="shared" si="42"/>
        <v>-0.17233312205050011</v>
      </c>
      <c r="G862">
        <f t="shared" si="43"/>
        <v>1</v>
      </c>
    </row>
    <row r="863" spans="4:7" x14ac:dyDescent="0.55000000000000004">
      <c r="D863">
        <v>-0.19792423699982464</v>
      </c>
      <c r="E863" s="5">
        <f t="shared" si="41"/>
        <v>6.1580482695974707E-2</v>
      </c>
      <c r="F863" s="5">
        <f t="shared" si="42"/>
        <v>6.2370724043961934E-2</v>
      </c>
      <c r="G863">
        <f t="shared" si="43"/>
        <v>0</v>
      </c>
    </row>
    <row r="864" spans="4:7" x14ac:dyDescent="0.55000000000000004">
      <c r="D864">
        <v>-1.6660396795487031</v>
      </c>
      <c r="E864" s="5">
        <f t="shared" si="41"/>
        <v>-0.22339869673298696</v>
      </c>
      <c r="F864" s="5">
        <f t="shared" si="42"/>
        <v>-0.36509804509948041</v>
      </c>
      <c r="G864">
        <f t="shared" si="43"/>
        <v>1</v>
      </c>
    </row>
    <row r="865" spans="4:7" x14ac:dyDescent="0.55000000000000004">
      <c r="D865">
        <v>0.61079163060639985</v>
      </c>
      <c r="E865" s="5">
        <f t="shared" si="41"/>
        <v>0.21856213254598617</v>
      </c>
      <c r="F865" s="5">
        <f t="shared" si="42"/>
        <v>0.29784319881897892</v>
      </c>
      <c r="G865">
        <f t="shared" si="43"/>
        <v>0</v>
      </c>
    </row>
    <row r="866" spans="4:7" x14ac:dyDescent="0.55000000000000004">
      <c r="D866">
        <v>-1.5393379726447165</v>
      </c>
      <c r="E866" s="5">
        <f t="shared" si="41"/>
        <v>-0.19880434439577638</v>
      </c>
      <c r="F866" s="5">
        <f t="shared" si="42"/>
        <v>-0.32820651659366451</v>
      </c>
      <c r="G866">
        <f t="shared" si="43"/>
        <v>1</v>
      </c>
    </row>
    <row r="867" spans="4:7" x14ac:dyDescent="0.55000000000000004">
      <c r="D867">
        <v>-0.64602090787957422</v>
      </c>
      <c r="E867" s="5">
        <f t="shared" si="41"/>
        <v>-2.5400566526187551E-2</v>
      </c>
      <c r="F867" s="5">
        <f t="shared" si="42"/>
        <v>-6.8100849789281326E-2</v>
      </c>
      <c r="G867">
        <f t="shared" si="43"/>
        <v>1</v>
      </c>
    </row>
    <row r="868" spans="4:7" x14ac:dyDescent="0.55000000000000004">
      <c r="D868">
        <v>0.267497171080322</v>
      </c>
      <c r="E868" s="5">
        <f t="shared" si="41"/>
        <v>0.15192447549062593</v>
      </c>
      <c r="F868" s="5">
        <f t="shared" si="42"/>
        <v>0.19788671323593876</v>
      </c>
      <c r="G868">
        <f t="shared" si="43"/>
        <v>0</v>
      </c>
    </row>
    <row r="869" spans="4:7" x14ac:dyDescent="0.55000000000000004">
      <c r="D869">
        <v>0.47705952965770848</v>
      </c>
      <c r="E869" s="5">
        <f t="shared" si="41"/>
        <v>0.19260309466167463</v>
      </c>
      <c r="F869" s="5">
        <f t="shared" si="42"/>
        <v>0.25890464199251184</v>
      </c>
      <c r="G869">
        <f t="shared" si="43"/>
        <v>0</v>
      </c>
    </row>
    <row r="870" spans="4:7" x14ac:dyDescent="0.55000000000000004">
      <c r="D870">
        <v>0.86256250142469071</v>
      </c>
      <c r="E870" s="5">
        <f t="shared" si="41"/>
        <v>0.26743394064122922</v>
      </c>
      <c r="F870" s="5">
        <f t="shared" si="42"/>
        <v>0.37115091096184361</v>
      </c>
      <c r="G870">
        <f t="shared" si="43"/>
        <v>0</v>
      </c>
    </row>
    <row r="871" spans="4:7" x14ac:dyDescent="0.55000000000000004">
      <c r="D871">
        <v>0.6760024007235188</v>
      </c>
      <c r="E871" s="5">
        <f t="shared" si="41"/>
        <v>0.23122034130758257</v>
      </c>
      <c r="F871" s="5">
        <f t="shared" si="42"/>
        <v>0.31683051196137391</v>
      </c>
      <c r="G871">
        <f t="shared" si="43"/>
        <v>0</v>
      </c>
    </row>
    <row r="872" spans="4:7" x14ac:dyDescent="0.55000000000000004">
      <c r="D872">
        <v>-0.41486146074021235</v>
      </c>
      <c r="E872" s="5">
        <f t="shared" si="41"/>
        <v>1.94703119168982E-2</v>
      </c>
      <c r="F872" s="5">
        <f t="shared" si="42"/>
        <v>-7.9453212465263601E-4</v>
      </c>
      <c r="G872">
        <f t="shared" si="43"/>
        <v>1</v>
      </c>
    </row>
    <row r="873" spans="4:7" x14ac:dyDescent="0.55000000000000004">
      <c r="D873">
        <v>0.60885668062837794</v>
      </c>
      <c r="E873" s="5">
        <f t="shared" si="41"/>
        <v>0.21818653506843672</v>
      </c>
      <c r="F873" s="5">
        <f t="shared" si="42"/>
        <v>0.29727980260265507</v>
      </c>
      <c r="G873">
        <f t="shared" si="43"/>
        <v>0</v>
      </c>
    </row>
    <row r="874" spans="4:7" x14ac:dyDescent="0.55000000000000004">
      <c r="D874">
        <v>-0.45819888327969238</v>
      </c>
      <c r="E874" s="5">
        <f t="shared" si="41"/>
        <v>1.1057987684121792E-2</v>
      </c>
      <c r="F874" s="5">
        <f t="shared" si="42"/>
        <v>-1.3413018473817484E-2</v>
      </c>
      <c r="G874">
        <f t="shared" si="43"/>
        <v>1</v>
      </c>
    </row>
    <row r="875" spans="4:7" x14ac:dyDescent="0.55000000000000004">
      <c r="D875">
        <v>-1.5619934856658801</v>
      </c>
      <c r="E875" s="5">
        <f t="shared" si="41"/>
        <v>-0.20320205681211345</v>
      </c>
      <c r="F875" s="5">
        <f t="shared" si="42"/>
        <v>-0.33480308521817026</v>
      </c>
      <c r="G875">
        <f t="shared" si="43"/>
        <v>1</v>
      </c>
    </row>
    <row r="876" spans="4:7" x14ac:dyDescent="0.55000000000000004">
      <c r="D876">
        <v>-0.35349785321159288</v>
      </c>
      <c r="E876" s="5">
        <f t="shared" si="41"/>
        <v>3.1381739324777003E-2</v>
      </c>
      <c r="F876" s="5">
        <f t="shared" si="42"/>
        <v>1.7072608987165561E-2</v>
      </c>
      <c r="G876">
        <f t="shared" si="43"/>
        <v>1</v>
      </c>
    </row>
    <row r="877" spans="4:7" x14ac:dyDescent="0.55000000000000004">
      <c r="D877">
        <v>-0.7914809430076275</v>
      </c>
      <c r="E877" s="5">
        <f t="shared" si="41"/>
        <v>-5.3636140002978672E-2</v>
      </c>
      <c r="F877" s="5">
        <f t="shared" si="42"/>
        <v>-0.11045421000446809</v>
      </c>
      <c r="G877">
        <f t="shared" si="43"/>
        <v>1</v>
      </c>
    </row>
    <row r="878" spans="4:7" x14ac:dyDescent="0.55000000000000004">
      <c r="D878">
        <v>-2.6816996978595853</v>
      </c>
      <c r="E878" s="5">
        <f t="shared" si="41"/>
        <v>-0.42055073955498923</v>
      </c>
      <c r="F878" s="5">
        <f t="shared" si="42"/>
        <v>-0.66082610933248387</v>
      </c>
      <c r="G878">
        <f t="shared" si="43"/>
        <v>1</v>
      </c>
    </row>
    <row r="879" spans="4:7" x14ac:dyDescent="0.55000000000000004">
      <c r="D879">
        <v>-0.8065353540587239</v>
      </c>
      <c r="E879" s="5">
        <f t="shared" si="41"/>
        <v>-5.6558385477543854E-2</v>
      </c>
      <c r="F879" s="5">
        <f t="shared" si="42"/>
        <v>-0.11483757821631591</v>
      </c>
      <c r="G879">
        <f t="shared" si="43"/>
        <v>1</v>
      </c>
    </row>
    <row r="880" spans="4:7" x14ac:dyDescent="0.55000000000000004">
      <c r="D880">
        <v>5.9895910453633405E-2</v>
      </c>
      <c r="E880" s="5">
        <f t="shared" si="41"/>
        <v>0.11162652943871523</v>
      </c>
      <c r="F880" s="5">
        <f t="shared" si="42"/>
        <v>0.13743979415807295</v>
      </c>
      <c r="G880">
        <f t="shared" si="43"/>
        <v>0</v>
      </c>
    </row>
    <row r="881" spans="4:7" x14ac:dyDescent="0.55000000000000004">
      <c r="D881">
        <v>-0.47697312766104005</v>
      </c>
      <c r="E881" s="5">
        <f t="shared" si="41"/>
        <v>7.4136770235743027E-3</v>
      </c>
      <c r="F881" s="5">
        <f t="shared" si="42"/>
        <v>-1.8879484464638718E-2</v>
      </c>
      <c r="G881">
        <f t="shared" si="43"/>
        <v>1</v>
      </c>
    </row>
    <row r="882" spans="4:7" x14ac:dyDescent="0.55000000000000004">
      <c r="D882">
        <v>0.34877757570939139</v>
      </c>
      <c r="E882" s="5">
        <f t="shared" si="41"/>
        <v>0.16770199702846306</v>
      </c>
      <c r="F882" s="5">
        <f t="shared" si="42"/>
        <v>0.22155299554269448</v>
      </c>
      <c r="G882">
        <f t="shared" si="43"/>
        <v>0</v>
      </c>
    </row>
    <row r="883" spans="4:7" x14ac:dyDescent="0.55000000000000004">
      <c r="D883">
        <v>-0.31265926736523397</v>
      </c>
      <c r="E883" s="5">
        <f t="shared" si="41"/>
        <v>3.9309008765747486E-2</v>
      </c>
      <c r="F883" s="5">
        <f t="shared" si="42"/>
        <v>2.8963513148621223E-2</v>
      </c>
      <c r="G883">
        <f t="shared" si="43"/>
        <v>1</v>
      </c>
    </row>
    <row r="884" spans="4:7" x14ac:dyDescent="0.55000000000000004">
      <c r="D884">
        <v>-0.9481982488068752</v>
      </c>
      <c r="E884" s="5">
        <f t="shared" si="41"/>
        <v>-8.4056887523656254E-2</v>
      </c>
      <c r="F884" s="5">
        <f t="shared" si="42"/>
        <v>-0.15608533128548441</v>
      </c>
      <c r="G884">
        <f t="shared" si="43"/>
        <v>1</v>
      </c>
    </row>
    <row r="885" spans="4:7" x14ac:dyDescent="0.55000000000000004">
      <c r="D885">
        <v>1.2151440387242474</v>
      </c>
      <c r="E885" s="5">
        <f t="shared" si="41"/>
        <v>0.33587433318078541</v>
      </c>
      <c r="F885" s="5">
        <f t="shared" si="42"/>
        <v>0.4738114997711782</v>
      </c>
      <c r="G885">
        <f t="shared" si="43"/>
        <v>0</v>
      </c>
    </row>
    <row r="886" spans="4:7" x14ac:dyDescent="0.55000000000000004">
      <c r="D886">
        <v>-2.0158950064796954E-2</v>
      </c>
      <c r="E886" s="5">
        <f t="shared" si="41"/>
        <v>9.6086901015330739E-2</v>
      </c>
      <c r="F886" s="5">
        <f t="shared" si="42"/>
        <v>0.11413035152299589</v>
      </c>
      <c r="G886">
        <f t="shared" si="43"/>
        <v>0</v>
      </c>
    </row>
    <row r="887" spans="4:7" x14ac:dyDescent="0.55000000000000004">
      <c r="D887">
        <v>0.73768205766100436</v>
      </c>
      <c r="E887" s="5">
        <f t="shared" si="41"/>
        <v>0.24319311777466157</v>
      </c>
      <c r="F887" s="5">
        <f t="shared" si="42"/>
        <v>0.33478967666199244</v>
      </c>
      <c r="G887">
        <f t="shared" si="43"/>
        <v>0</v>
      </c>
    </row>
    <row r="888" spans="4:7" x14ac:dyDescent="0.55000000000000004">
      <c r="D888">
        <v>-1.1794281817856245</v>
      </c>
      <c r="E888" s="5">
        <f t="shared" si="41"/>
        <v>-0.12894144813102407</v>
      </c>
      <c r="F888" s="5">
        <f t="shared" si="42"/>
        <v>-0.22341217219653609</v>
      </c>
      <c r="G888">
        <f t="shared" si="43"/>
        <v>1</v>
      </c>
    </row>
    <row r="889" spans="4:7" x14ac:dyDescent="0.55000000000000004">
      <c r="D889">
        <v>0.4263108621671563</v>
      </c>
      <c r="E889" s="5">
        <f t="shared" si="41"/>
        <v>0.18275215705866027</v>
      </c>
      <c r="F889" s="5">
        <f t="shared" si="42"/>
        <v>0.24412823558799057</v>
      </c>
      <c r="G889">
        <f t="shared" si="43"/>
        <v>0</v>
      </c>
    </row>
    <row r="890" spans="4:7" x14ac:dyDescent="0.55000000000000004">
      <c r="D890">
        <v>-0.47354774324048776</v>
      </c>
      <c r="E890" s="5">
        <f t="shared" si="41"/>
        <v>8.0785860716686281E-3</v>
      </c>
      <c r="F890" s="5">
        <f t="shared" si="42"/>
        <v>-1.7882120892497189E-2</v>
      </c>
      <c r="G890">
        <f t="shared" si="43"/>
        <v>1</v>
      </c>
    </row>
    <row r="891" spans="4:7" x14ac:dyDescent="0.55000000000000004">
      <c r="D891">
        <v>0.7261826340254629</v>
      </c>
      <c r="E891" s="5">
        <f t="shared" si="41"/>
        <v>0.24096093887606418</v>
      </c>
      <c r="F891" s="5">
        <f t="shared" si="42"/>
        <v>0.33144140831409641</v>
      </c>
      <c r="G891">
        <f t="shared" si="43"/>
        <v>0</v>
      </c>
    </row>
    <row r="892" spans="4:7" x14ac:dyDescent="0.55000000000000004">
      <c r="D892">
        <v>1.1021552381862421</v>
      </c>
      <c r="E892" s="5">
        <f t="shared" si="41"/>
        <v>0.31394182383664282</v>
      </c>
      <c r="F892" s="5">
        <f t="shared" si="42"/>
        <v>0.44091273575496426</v>
      </c>
      <c r="G892">
        <f t="shared" si="43"/>
        <v>0</v>
      </c>
    </row>
    <row r="893" spans="4:7" x14ac:dyDescent="0.55000000000000004">
      <c r="D893">
        <v>0.66861957748187706</v>
      </c>
      <c r="E893" s="5">
        <f t="shared" si="41"/>
        <v>0.22978724493907129</v>
      </c>
      <c r="F893" s="5">
        <f t="shared" si="42"/>
        <v>0.31468086740860679</v>
      </c>
      <c r="G893">
        <f t="shared" si="43"/>
        <v>0</v>
      </c>
    </row>
    <row r="894" spans="4:7" x14ac:dyDescent="0.55000000000000004">
      <c r="D894">
        <v>8.1062125900643878E-2</v>
      </c>
      <c r="E894" s="5">
        <f t="shared" si="41"/>
        <v>0.1157351509645765</v>
      </c>
      <c r="F894" s="5">
        <f t="shared" si="42"/>
        <v>0.14360272644686489</v>
      </c>
      <c r="G894">
        <f t="shared" si="43"/>
        <v>0</v>
      </c>
    </row>
    <row r="895" spans="4:7" x14ac:dyDescent="0.55000000000000004">
      <c r="D895">
        <v>-9.8498276202008128E-2</v>
      </c>
      <c r="E895" s="5">
        <f t="shared" si="41"/>
        <v>8.0880278816166065E-2</v>
      </c>
      <c r="F895" s="5">
        <f t="shared" si="42"/>
        <v>9.1320418224249078E-2</v>
      </c>
      <c r="G895">
        <f t="shared" si="43"/>
        <v>0</v>
      </c>
    </row>
    <row r="896" spans="4:7" x14ac:dyDescent="0.55000000000000004">
      <c r="D896">
        <v>0.20682591639342718</v>
      </c>
      <c r="E896" s="5">
        <f t="shared" si="41"/>
        <v>0.14014744224480802</v>
      </c>
      <c r="F896" s="5">
        <f t="shared" si="42"/>
        <v>0.18022116336721239</v>
      </c>
      <c r="G896">
        <f t="shared" si="43"/>
        <v>0</v>
      </c>
    </row>
    <row r="897" spans="4:7" x14ac:dyDescent="0.55000000000000004">
      <c r="D897">
        <v>0.67513838075683452</v>
      </c>
      <c r="E897" s="5">
        <f t="shared" si="41"/>
        <v>0.23105262445509281</v>
      </c>
      <c r="F897" s="5">
        <f t="shared" si="42"/>
        <v>0.31657893668263926</v>
      </c>
      <c r="G897">
        <f t="shared" si="43"/>
        <v>0</v>
      </c>
    </row>
    <row r="898" spans="4:7" x14ac:dyDescent="0.55000000000000004">
      <c r="D898">
        <v>-0.26464363145350944</v>
      </c>
      <c r="E898" s="5">
        <f t="shared" si="41"/>
        <v>4.8629431482728386E-2</v>
      </c>
      <c r="F898" s="5">
        <f t="shared" si="42"/>
        <v>4.2944147224092788E-2</v>
      </c>
      <c r="G898">
        <f t="shared" si="43"/>
        <v>1</v>
      </c>
    </row>
    <row r="899" spans="4:7" x14ac:dyDescent="0.55000000000000004">
      <c r="D899">
        <v>-0.60775164456572384</v>
      </c>
      <c r="E899" s="5">
        <f t="shared" si="41"/>
        <v>-1.7972034041305082E-2</v>
      </c>
      <c r="F899" s="5">
        <f t="shared" si="42"/>
        <v>-5.6958051061957615E-2</v>
      </c>
      <c r="G899">
        <f t="shared" si="43"/>
        <v>1</v>
      </c>
    </row>
    <row r="900" spans="4:7" x14ac:dyDescent="0.55000000000000004">
      <c r="D900">
        <v>1.3857015801477246</v>
      </c>
      <c r="E900" s="5">
        <f t="shared" ref="E900:E963" si="44">$B$3+D900*$B$4</f>
        <v>0.36898163986226623</v>
      </c>
      <c r="F900" s="5">
        <f t="shared" ref="F900:F963" si="45">($B$2*(1+E900)-$B$5*(1+$B$6))/$B$7-1</f>
        <v>0.52347245979339929</v>
      </c>
      <c r="G900">
        <f t="shared" ref="G900:G963" si="46">IF(F900&lt;E900,1,0)</f>
        <v>0</v>
      </c>
    </row>
    <row r="901" spans="4:7" x14ac:dyDescent="0.55000000000000004">
      <c r="D901">
        <v>7.2852799348765984E-2</v>
      </c>
      <c r="E901" s="5">
        <f t="shared" si="44"/>
        <v>0.11414162018585461</v>
      </c>
      <c r="F901" s="5">
        <f t="shared" si="45"/>
        <v>0.14121243027878183</v>
      </c>
      <c r="G901">
        <f t="shared" si="46"/>
        <v>0</v>
      </c>
    </row>
    <row r="902" spans="4:7" x14ac:dyDescent="0.55000000000000004">
      <c r="D902">
        <v>-0.14404577086679637</v>
      </c>
      <c r="E902" s="5">
        <f t="shared" si="44"/>
        <v>7.2038952529126329E-2</v>
      </c>
      <c r="F902" s="5">
        <f t="shared" si="45"/>
        <v>7.8058428793689405E-2</v>
      </c>
      <c r="G902">
        <f t="shared" si="46"/>
        <v>0</v>
      </c>
    </row>
    <row r="903" spans="4:7" x14ac:dyDescent="0.55000000000000004">
      <c r="D903">
        <v>0.7412018021568656</v>
      </c>
      <c r="E903" s="5">
        <f t="shared" si="44"/>
        <v>0.24387634326848834</v>
      </c>
      <c r="F903" s="5">
        <f t="shared" si="45"/>
        <v>0.33581451490273251</v>
      </c>
      <c r="G903">
        <f t="shared" si="46"/>
        <v>0</v>
      </c>
    </row>
    <row r="904" spans="4:7" x14ac:dyDescent="0.55000000000000004">
      <c r="D904">
        <v>-1.1463362170616165</v>
      </c>
      <c r="E904" s="5">
        <f t="shared" si="44"/>
        <v>-0.12251789268066585</v>
      </c>
      <c r="F904" s="5">
        <f t="shared" si="45"/>
        <v>-0.21377683902099875</v>
      </c>
      <c r="G904">
        <f t="shared" si="46"/>
        <v>1</v>
      </c>
    </row>
    <row r="905" spans="4:7" x14ac:dyDescent="0.55000000000000004">
      <c r="D905">
        <v>1.3058752301731147</v>
      </c>
      <c r="E905" s="5">
        <f t="shared" si="44"/>
        <v>0.35348636813276391</v>
      </c>
      <c r="F905" s="5">
        <f t="shared" si="45"/>
        <v>0.50022955219914622</v>
      </c>
      <c r="G905">
        <f t="shared" si="46"/>
        <v>0</v>
      </c>
    </row>
    <row r="906" spans="4:7" x14ac:dyDescent="0.55000000000000004">
      <c r="D906">
        <v>1.700414031802211</v>
      </c>
      <c r="E906" s="5">
        <f t="shared" si="44"/>
        <v>0.43007117930125099</v>
      </c>
      <c r="F906" s="5">
        <f t="shared" si="45"/>
        <v>0.61510676895187655</v>
      </c>
      <c r="G906">
        <f t="shared" si="46"/>
        <v>0</v>
      </c>
    </row>
    <row r="907" spans="4:7" x14ac:dyDescent="0.55000000000000004">
      <c r="D907">
        <v>-0.27885221243195701</v>
      </c>
      <c r="E907" s="5">
        <f t="shared" si="44"/>
        <v>4.5871371979547909E-2</v>
      </c>
      <c r="F907" s="5">
        <f t="shared" si="45"/>
        <v>3.8807057969321823E-2</v>
      </c>
      <c r="G907">
        <f t="shared" si="46"/>
        <v>1</v>
      </c>
    </row>
    <row r="908" spans="4:7" x14ac:dyDescent="0.55000000000000004">
      <c r="D908">
        <v>0.19644176063593477</v>
      </c>
      <c r="E908" s="5">
        <f t="shared" si="44"/>
        <v>0.13813175049396387</v>
      </c>
      <c r="F908" s="5">
        <f t="shared" si="45"/>
        <v>0.17719762574094555</v>
      </c>
      <c r="G908">
        <f t="shared" si="46"/>
        <v>0</v>
      </c>
    </row>
    <row r="909" spans="4:7" x14ac:dyDescent="0.55000000000000004">
      <c r="D909">
        <v>-0.62114963839121629</v>
      </c>
      <c r="E909" s="5">
        <f t="shared" si="44"/>
        <v>-2.0572748655241863E-2</v>
      </c>
      <c r="F909" s="5">
        <f t="shared" si="45"/>
        <v>-6.0859122982862779E-2</v>
      </c>
      <c r="G909">
        <f t="shared" si="46"/>
        <v>1</v>
      </c>
    </row>
    <row r="910" spans="4:7" x14ac:dyDescent="0.55000000000000004">
      <c r="D910">
        <v>0.69896714194328524</v>
      </c>
      <c r="E910" s="5">
        <f t="shared" si="44"/>
        <v>0.23567807870270543</v>
      </c>
      <c r="F910" s="5">
        <f t="shared" si="45"/>
        <v>0.32351711805405836</v>
      </c>
      <c r="G910">
        <f t="shared" si="46"/>
        <v>0</v>
      </c>
    </row>
    <row r="911" spans="4:7" x14ac:dyDescent="0.55000000000000004">
      <c r="D911">
        <v>-0.98369355328031816</v>
      </c>
      <c r="E911" s="5">
        <f t="shared" si="44"/>
        <v>-9.094696064001892E-2</v>
      </c>
      <c r="F911" s="5">
        <f t="shared" si="45"/>
        <v>-0.1664204409600285</v>
      </c>
      <c r="G911">
        <f t="shared" si="46"/>
        <v>1</v>
      </c>
    </row>
    <row r="912" spans="4:7" x14ac:dyDescent="0.55000000000000004">
      <c r="D912">
        <v>-0.9853079063759651</v>
      </c>
      <c r="E912" s="5">
        <f t="shared" si="44"/>
        <v>-9.1260326338091918E-2</v>
      </c>
      <c r="F912" s="5">
        <f t="shared" si="45"/>
        <v>-0.16689048950713792</v>
      </c>
      <c r="G912">
        <f t="shared" si="46"/>
        <v>1</v>
      </c>
    </row>
    <row r="913" spans="4:7" x14ac:dyDescent="0.55000000000000004">
      <c r="D913">
        <v>-2.3908341972855851E-2</v>
      </c>
      <c r="E913" s="5">
        <f t="shared" si="44"/>
        <v>9.5359098147552751E-2</v>
      </c>
      <c r="F913" s="5">
        <f t="shared" si="45"/>
        <v>0.11303864722132895</v>
      </c>
      <c r="G913">
        <f t="shared" si="46"/>
        <v>0</v>
      </c>
    </row>
    <row r="914" spans="4:7" x14ac:dyDescent="0.55000000000000004">
      <c r="D914">
        <v>-1.2049622455378994</v>
      </c>
      <c r="E914" s="5">
        <f t="shared" si="44"/>
        <v>-0.13389792248223495</v>
      </c>
      <c r="F914" s="5">
        <f t="shared" si="45"/>
        <v>-0.23084688372335238</v>
      </c>
      <c r="G914">
        <f t="shared" si="46"/>
        <v>1</v>
      </c>
    </row>
    <row r="915" spans="4:7" x14ac:dyDescent="0.55000000000000004">
      <c r="D915">
        <v>-1.0352619028708432</v>
      </c>
      <c r="E915" s="5">
        <f t="shared" si="44"/>
        <v>-0.10095700857282949</v>
      </c>
      <c r="F915" s="5">
        <f t="shared" si="45"/>
        <v>-0.1814355128592442</v>
      </c>
      <c r="G915">
        <f t="shared" si="46"/>
        <v>1</v>
      </c>
    </row>
    <row r="916" spans="4:7" x14ac:dyDescent="0.55000000000000004">
      <c r="D916">
        <v>0.31756371754454449</v>
      </c>
      <c r="E916" s="5">
        <f t="shared" si="44"/>
        <v>0.161643005052201</v>
      </c>
      <c r="F916" s="5">
        <f t="shared" si="45"/>
        <v>0.21246450757830182</v>
      </c>
      <c r="G916">
        <f t="shared" si="46"/>
        <v>0</v>
      </c>
    </row>
    <row r="917" spans="4:7" x14ac:dyDescent="0.55000000000000004">
      <c r="D917">
        <v>-1.7435331756132655</v>
      </c>
      <c r="E917" s="5">
        <f t="shared" si="44"/>
        <v>-0.23844113296076691</v>
      </c>
      <c r="F917" s="5">
        <f t="shared" si="45"/>
        <v>-0.38766169944115048</v>
      </c>
      <c r="G917">
        <f t="shared" si="46"/>
        <v>1</v>
      </c>
    </row>
    <row r="918" spans="4:7" x14ac:dyDescent="0.55000000000000004">
      <c r="D918">
        <v>-2.2198400984052569</v>
      </c>
      <c r="E918" s="5">
        <f t="shared" si="44"/>
        <v>-0.33089813741672019</v>
      </c>
      <c r="F918" s="5">
        <f t="shared" si="45"/>
        <v>-0.52634720612508024</v>
      </c>
      <c r="G918">
        <f t="shared" si="46"/>
        <v>1</v>
      </c>
    </row>
    <row r="919" spans="4:7" x14ac:dyDescent="0.55000000000000004">
      <c r="D919">
        <v>0.58254727264284156</v>
      </c>
      <c r="E919" s="5">
        <f t="shared" si="44"/>
        <v>0.21307955691012315</v>
      </c>
      <c r="F919" s="5">
        <f t="shared" si="45"/>
        <v>0.2896193353651848</v>
      </c>
      <c r="G919">
        <f t="shared" si="46"/>
        <v>0</v>
      </c>
    </row>
    <row r="920" spans="4:7" x14ac:dyDescent="0.55000000000000004">
      <c r="D920">
        <v>-0.34017375583061948</v>
      </c>
      <c r="E920" s="5">
        <f t="shared" si="44"/>
        <v>3.3968109734224525E-2</v>
      </c>
      <c r="F920" s="5">
        <f t="shared" si="45"/>
        <v>2.0952164601336865E-2</v>
      </c>
      <c r="G920">
        <f t="shared" si="46"/>
        <v>1</v>
      </c>
    </row>
    <row r="921" spans="4:7" x14ac:dyDescent="0.55000000000000004">
      <c r="D921">
        <v>0.5375329692469677</v>
      </c>
      <c r="E921" s="5">
        <f t="shared" si="44"/>
        <v>0.20434172957547514</v>
      </c>
      <c r="F921" s="5">
        <f t="shared" si="45"/>
        <v>0.27651259436321274</v>
      </c>
      <c r="G921">
        <f t="shared" si="46"/>
        <v>0</v>
      </c>
    </row>
    <row r="922" spans="4:7" x14ac:dyDescent="0.55000000000000004">
      <c r="D922">
        <v>0.29743205232080072</v>
      </c>
      <c r="E922" s="5">
        <f t="shared" si="44"/>
        <v>0.15773520238918931</v>
      </c>
      <c r="F922" s="5">
        <f t="shared" si="45"/>
        <v>0.20660280358378413</v>
      </c>
      <c r="G922">
        <f t="shared" si="46"/>
        <v>0</v>
      </c>
    </row>
    <row r="923" spans="4:7" x14ac:dyDescent="0.55000000000000004">
      <c r="D923">
        <v>-0.46790773922111839</v>
      </c>
      <c r="E923" s="5">
        <f t="shared" si="44"/>
        <v>9.1733798943025163E-3</v>
      </c>
      <c r="F923" s="5">
        <f t="shared" si="45"/>
        <v>-1.6239930158546079E-2</v>
      </c>
      <c r="G923">
        <f t="shared" si="46"/>
        <v>1</v>
      </c>
    </row>
    <row r="924" spans="4:7" x14ac:dyDescent="0.55000000000000004">
      <c r="D924">
        <v>0.64819005274330266</v>
      </c>
      <c r="E924" s="5">
        <f t="shared" si="44"/>
        <v>0.22582162409796447</v>
      </c>
      <c r="F924" s="5">
        <f t="shared" si="45"/>
        <v>0.30873243614694657</v>
      </c>
      <c r="G924">
        <f t="shared" si="46"/>
        <v>0</v>
      </c>
    </row>
    <row r="925" spans="4:7" x14ac:dyDescent="0.55000000000000004">
      <c r="D925">
        <v>0.9600171324564144</v>
      </c>
      <c r="E925" s="5">
        <f t="shared" si="44"/>
        <v>0.286351077521661</v>
      </c>
      <c r="F925" s="5">
        <f t="shared" si="45"/>
        <v>0.39952661628249109</v>
      </c>
      <c r="G925">
        <f t="shared" si="46"/>
        <v>0</v>
      </c>
    </row>
    <row r="926" spans="4:7" x14ac:dyDescent="0.55000000000000004">
      <c r="D926">
        <v>-1.0067901712318417</v>
      </c>
      <c r="E926" s="5">
        <f t="shared" si="44"/>
        <v>-9.5430296923153385E-2</v>
      </c>
      <c r="F926" s="5">
        <f t="shared" si="45"/>
        <v>-0.1731454453847302</v>
      </c>
      <c r="G926">
        <f t="shared" si="46"/>
        <v>1</v>
      </c>
    </row>
    <row r="927" spans="4:7" x14ac:dyDescent="0.55000000000000004">
      <c r="D927">
        <v>1.3761746231466532</v>
      </c>
      <c r="E927" s="5">
        <f t="shared" si="44"/>
        <v>0.36713234088349744</v>
      </c>
      <c r="F927" s="5">
        <f t="shared" si="45"/>
        <v>0.52069851132524603</v>
      </c>
      <c r="G927">
        <f t="shared" si="46"/>
        <v>0</v>
      </c>
    </row>
    <row r="928" spans="4:7" x14ac:dyDescent="0.55000000000000004">
      <c r="D928">
        <v>-0.32900857149797957</v>
      </c>
      <c r="E928" s="5">
        <f t="shared" si="44"/>
        <v>3.6135408692516691E-2</v>
      </c>
      <c r="F928" s="5">
        <f t="shared" si="45"/>
        <v>2.4203113038775204E-2</v>
      </c>
      <c r="G928">
        <f t="shared" si="46"/>
        <v>1</v>
      </c>
    </row>
    <row r="929" spans="4:7" x14ac:dyDescent="0.55000000000000004">
      <c r="D929">
        <v>-3.865352482534945E-5</v>
      </c>
      <c r="E929" s="5">
        <f t="shared" si="44"/>
        <v>9.9992496877651757E-2</v>
      </c>
      <c r="F929" s="5">
        <f t="shared" si="45"/>
        <v>0.11998874531647785</v>
      </c>
      <c r="G929">
        <f t="shared" si="46"/>
        <v>0</v>
      </c>
    </row>
    <row r="930" spans="4:7" x14ac:dyDescent="0.55000000000000004">
      <c r="D930">
        <v>-1.5517116480623372</v>
      </c>
      <c r="E930" s="5">
        <f t="shared" si="44"/>
        <v>-0.20120622626748519</v>
      </c>
      <c r="F930" s="5">
        <f t="shared" si="45"/>
        <v>-0.33180933940122781</v>
      </c>
      <c r="G930">
        <f t="shared" si="46"/>
        <v>1</v>
      </c>
    </row>
    <row r="931" spans="4:7" x14ac:dyDescent="0.55000000000000004">
      <c r="D931">
        <v>0.63887455326039344</v>
      </c>
      <c r="E931" s="5">
        <f t="shared" si="44"/>
        <v>0.22401337161204185</v>
      </c>
      <c r="F931" s="5">
        <f t="shared" si="45"/>
        <v>0.30602005741806271</v>
      </c>
      <c r="G931">
        <f t="shared" si="46"/>
        <v>0</v>
      </c>
    </row>
    <row r="932" spans="4:7" x14ac:dyDescent="0.55000000000000004">
      <c r="D932">
        <v>5.9819740272359923E-2</v>
      </c>
      <c r="E932" s="5">
        <f t="shared" si="44"/>
        <v>0.11161174387408784</v>
      </c>
      <c r="F932" s="5">
        <f t="shared" si="45"/>
        <v>0.13741761581113177</v>
      </c>
      <c r="G932">
        <f t="shared" si="46"/>
        <v>0</v>
      </c>
    </row>
    <row r="933" spans="4:7" x14ac:dyDescent="0.55000000000000004">
      <c r="D933">
        <v>3.6689016269519925E-2</v>
      </c>
      <c r="E933" s="5">
        <f t="shared" si="44"/>
        <v>0.10712178718888142</v>
      </c>
      <c r="F933" s="5">
        <f t="shared" si="45"/>
        <v>0.13068268078332212</v>
      </c>
      <c r="G933">
        <f t="shared" si="46"/>
        <v>0</v>
      </c>
    </row>
    <row r="934" spans="4:7" x14ac:dyDescent="0.55000000000000004">
      <c r="D934">
        <v>0.21151663531782106</v>
      </c>
      <c r="E934" s="5">
        <f t="shared" si="44"/>
        <v>0.14105796820977223</v>
      </c>
      <c r="F934" s="5">
        <f t="shared" si="45"/>
        <v>0.18158695231465871</v>
      </c>
      <c r="G934">
        <f t="shared" si="46"/>
        <v>0</v>
      </c>
    </row>
    <row r="935" spans="4:7" x14ac:dyDescent="0.55000000000000004">
      <c r="D935">
        <v>1.8015953173744492E-2</v>
      </c>
      <c r="E935" s="5">
        <f t="shared" si="44"/>
        <v>0.10349711705448077</v>
      </c>
      <c r="F935" s="5">
        <f t="shared" si="45"/>
        <v>0.12524567558172084</v>
      </c>
      <c r="G935">
        <f t="shared" si="46"/>
        <v>0</v>
      </c>
    </row>
    <row r="936" spans="4:7" x14ac:dyDescent="0.55000000000000004">
      <c r="D936">
        <v>-1.4163197192829102</v>
      </c>
      <c r="E936" s="5">
        <f t="shared" si="44"/>
        <v>-0.17492499548233803</v>
      </c>
      <c r="F936" s="5">
        <f t="shared" si="45"/>
        <v>-0.2923874932235071</v>
      </c>
      <c r="G936">
        <f t="shared" si="46"/>
        <v>1</v>
      </c>
    </row>
    <row r="937" spans="4:7" x14ac:dyDescent="0.55000000000000004">
      <c r="D937">
        <v>0.3557784111762885</v>
      </c>
      <c r="E937" s="5">
        <f t="shared" si="44"/>
        <v>0.16906094489376833</v>
      </c>
      <c r="F937" s="5">
        <f t="shared" si="45"/>
        <v>0.22359141734065235</v>
      </c>
      <c r="G937">
        <f t="shared" si="46"/>
        <v>0</v>
      </c>
    </row>
    <row r="938" spans="4:7" x14ac:dyDescent="0.55000000000000004">
      <c r="D938">
        <v>0.64281948652933352</v>
      </c>
      <c r="E938" s="5">
        <f t="shared" si="44"/>
        <v>0.22477913145169909</v>
      </c>
      <c r="F938" s="5">
        <f t="shared" si="45"/>
        <v>0.30716869717754891</v>
      </c>
      <c r="G938">
        <f t="shared" si="46"/>
        <v>0</v>
      </c>
    </row>
    <row r="939" spans="4:7" x14ac:dyDescent="0.55000000000000004">
      <c r="D939">
        <v>0.7521202860516496</v>
      </c>
      <c r="E939" s="5">
        <f t="shared" si="44"/>
        <v>0.2459957546517933</v>
      </c>
      <c r="F939" s="5">
        <f t="shared" si="45"/>
        <v>0.33899363197768984</v>
      </c>
      <c r="G939">
        <f t="shared" si="46"/>
        <v>0</v>
      </c>
    </row>
    <row r="940" spans="4:7" x14ac:dyDescent="0.55000000000000004">
      <c r="D940">
        <v>-1.2471355148591101</v>
      </c>
      <c r="E940" s="5">
        <f t="shared" si="44"/>
        <v>-0.1420842703242883</v>
      </c>
      <c r="F940" s="5">
        <f t="shared" si="45"/>
        <v>-0.2431264054864325</v>
      </c>
      <c r="G940">
        <f t="shared" si="46"/>
        <v>1</v>
      </c>
    </row>
    <row r="941" spans="4:7" x14ac:dyDescent="0.55000000000000004">
      <c r="D941">
        <v>1.898124537547119</v>
      </c>
      <c r="E941" s="5">
        <f t="shared" si="44"/>
        <v>0.46844920875229196</v>
      </c>
      <c r="F941" s="5">
        <f t="shared" si="45"/>
        <v>0.67267381312843799</v>
      </c>
      <c r="G941">
        <f t="shared" si="46"/>
        <v>0</v>
      </c>
    </row>
    <row r="942" spans="4:7" x14ac:dyDescent="0.55000000000000004">
      <c r="D942">
        <v>0.82456381278461777</v>
      </c>
      <c r="E942" s="5">
        <f t="shared" si="44"/>
        <v>0.26005793001278432</v>
      </c>
      <c r="F942" s="5">
        <f t="shared" si="45"/>
        <v>0.36008689501917646</v>
      </c>
      <c r="G942">
        <f t="shared" si="46"/>
        <v>0</v>
      </c>
    </row>
    <row r="943" spans="4:7" x14ac:dyDescent="0.55000000000000004">
      <c r="D943">
        <v>0.14072384146857075</v>
      </c>
      <c r="E943" s="5">
        <f t="shared" si="44"/>
        <v>0.12731622030906425</v>
      </c>
      <c r="F943" s="5">
        <f t="shared" si="45"/>
        <v>0.16097433046359666</v>
      </c>
      <c r="G943">
        <f t="shared" si="46"/>
        <v>0</v>
      </c>
    </row>
    <row r="944" spans="4:7" x14ac:dyDescent="0.55000000000000004">
      <c r="D944">
        <v>0.26797351893037558</v>
      </c>
      <c r="E944" s="5">
        <f t="shared" si="44"/>
        <v>0.15201694043956437</v>
      </c>
      <c r="F944" s="5">
        <f t="shared" si="45"/>
        <v>0.19802541065934642</v>
      </c>
      <c r="G944">
        <f t="shared" si="46"/>
        <v>0</v>
      </c>
    </row>
    <row r="945" spans="4:7" x14ac:dyDescent="0.55000000000000004">
      <c r="D945">
        <v>1.1184511095052585</v>
      </c>
      <c r="E945" s="5">
        <f t="shared" si="44"/>
        <v>0.31710505194662753</v>
      </c>
      <c r="F945" s="5">
        <f t="shared" si="45"/>
        <v>0.44565757791994143</v>
      </c>
      <c r="G945">
        <f t="shared" si="46"/>
        <v>0</v>
      </c>
    </row>
    <row r="946" spans="4:7" x14ac:dyDescent="0.55000000000000004">
      <c r="D946">
        <v>-1.1643805919447914</v>
      </c>
      <c r="E946" s="5">
        <f t="shared" si="44"/>
        <v>-0.12602052673687328</v>
      </c>
      <c r="F946" s="5">
        <f t="shared" si="45"/>
        <v>-0.21903079010530979</v>
      </c>
      <c r="G946">
        <f t="shared" si="46"/>
        <v>1</v>
      </c>
    </row>
    <row r="947" spans="4:7" x14ac:dyDescent="0.55000000000000004">
      <c r="D947">
        <v>1.3082126315566711</v>
      </c>
      <c r="E947" s="5">
        <f t="shared" si="44"/>
        <v>0.35394008635476254</v>
      </c>
      <c r="F947" s="5">
        <f t="shared" si="45"/>
        <v>0.50091012953214387</v>
      </c>
      <c r="G947">
        <f t="shared" si="46"/>
        <v>0</v>
      </c>
    </row>
    <row r="948" spans="4:7" x14ac:dyDescent="0.55000000000000004">
      <c r="D948">
        <v>-0.20987499738112092</v>
      </c>
      <c r="E948" s="5">
        <f t="shared" si="44"/>
        <v>5.9260693809958291E-2</v>
      </c>
      <c r="F948" s="5">
        <f t="shared" si="45"/>
        <v>5.8891040714937226E-2</v>
      </c>
      <c r="G948">
        <f t="shared" si="46"/>
        <v>1</v>
      </c>
    </row>
    <row r="949" spans="4:7" x14ac:dyDescent="0.55000000000000004">
      <c r="D949">
        <v>-0.45056594899506308</v>
      </c>
      <c r="E949" s="5">
        <f t="shared" si="44"/>
        <v>1.2539633667827468E-2</v>
      </c>
      <c r="F949" s="5">
        <f t="shared" si="45"/>
        <v>-1.1190549498258928E-2</v>
      </c>
      <c r="G949">
        <f t="shared" si="46"/>
        <v>1</v>
      </c>
    </row>
    <row r="950" spans="4:7" x14ac:dyDescent="0.55000000000000004">
      <c r="D950">
        <v>0.48229367166641168</v>
      </c>
      <c r="E950" s="5">
        <f t="shared" si="44"/>
        <v>0.19361910569965213</v>
      </c>
      <c r="F950" s="5">
        <f t="shared" si="45"/>
        <v>0.26042865854947816</v>
      </c>
      <c r="G950">
        <f t="shared" si="46"/>
        <v>0</v>
      </c>
    </row>
    <row r="951" spans="4:7" x14ac:dyDescent="0.55000000000000004">
      <c r="D951">
        <v>0.18024593373411335</v>
      </c>
      <c r="E951" s="5">
        <f t="shared" si="44"/>
        <v>0.13498794223005689</v>
      </c>
      <c r="F951" s="5">
        <f t="shared" si="45"/>
        <v>0.17248191334508522</v>
      </c>
      <c r="G951">
        <f t="shared" si="46"/>
        <v>0</v>
      </c>
    </row>
    <row r="952" spans="4:7" x14ac:dyDescent="0.55000000000000004">
      <c r="D952">
        <v>1.0359167390561197</v>
      </c>
      <c r="E952" s="5">
        <f t="shared" si="44"/>
        <v>0.30108412029261117</v>
      </c>
      <c r="F952" s="5">
        <f t="shared" si="45"/>
        <v>0.42162618043891675</v>
      </c>
      <c r="G952">
        <f t="shared" si="46"/>
        <v>0</v>
      </c>
    </row>
    <row r="953" spans="4:7" x14ac:dyDescent="0.55000000000000004">
      <c r="D953">
        <v>-0.77257936936803162</v>
      </c>
      <c r="E953" s="5">
        <f t="shared" si="44"/>
        <v>-4.9967113174695849E-2</v>
      </c>
      <c r="F953" s="5">
        <f t="shared" si="45"/>
        <v>-0.10495066976204381</v>
      </c>
      <c r="G953">
        <f t="shared" si="46"/>
        <v>1</v>
      </c>
    </row>
    <row r="954" spans="4:7" x14ac:dyDescent="0.55000000000000004">
      <c r="D954">
        <v>1.5838668332435191</v>
      </c>
      <c r="E954" s="5">
        <f t="shared" si="44"/>
        <v>0.40744794134093343</v>
      </c>
      <c r="F954" s="5">
        <f t="shared" si="45"/>
        <v>0.58117191201140006</v>
      </c>
      <c r="G954">
        <f t="shared" si="46"/>
        <v>0</v>
      </c>
    </row>
    <row r="955" spans="4:7" x14ac:dyDescent="0.55000000000000004">
      <c r="D955">
        <v>-0.18615764929563738</v>
      </c>
      <c r="E955" s="5">
        <f t="shared" si="44"/>
        <v>6.3864521410802511E-2</v>
      </c>
      <c r="F955" s="5">
        <f t="shared" si="45"/>
        <v>6.5796782116203767E-2</v>
      </c>
      <c r="G955">
        <f t="shared" si="46"/>
        <v>0</v>
      </c>
    </row>
    <row r="956" spans="4:7" x14ac:dyDescent="0.55000000000000004">
      <c r="D956">
        <v>-1.5827981769689359</v>
      </c>
      <c r="E956" s="5">
        <f t="shared" si="44"/>
        <v>-0.20724050207601191</v>
      </c>
      <c r="F956" s="5">
        <f t="shared" si="45"/>
        <v>-0.34086075311401798</v>
      </c>
      <c r="G956">
        <f t="shared" si="46"/>
        <v>1</v>
      </c>
    </row>
    <row r="957" spans="4:7" x14ac:dyDescent="0.55000000000000004">
      <c r="D957">
        <v>-0.4889216143055819</v>
      </c>
      <c r="E957" s="5">
        <f t="shared" si="44"/>
        <v>5.0943294976960318E-3</v>
      </c>
      <c r="F957" s="5">
        <f t="shared" si="45"/>
        <v>-2.2358505753456104E-2</v>
      </c>
      <c r="G957">
        <f t="shared" si="46"/>
        <v>1</v>
      </c>
    </row>
    <row r="958" spans="4:7" x14ac:dyDescent="0.55000000000000004">
      <c r="D958">
        <v>-0.12544205674203113</v>
      </c>
      <c r="E958" s="5">
        <f t="shared" si="44"/>
        <v>7.5650161179313988E-2</v>
      </c>
      <c r="F958" s="5">
        <f t="shared" si="45"/>
        <v>8.3475241768970809E-2</v>
      </c>
      <c r="G958">
        <f t="shared" si="46"/>
        <v>0</v>
      </c>
    </row>
    <row r="959" spans="4:7" x14ac:dyDescent="0.55000000000000004">
      <c r="D959">
        <v>0.77701997724943794</v>
      </c>
      <c r="E959" s="5">
        <f t="shared" si="44"/>
        <v>0.25082908952446559</v>
      </c>
      <c r="F959" s="5">
        <f t="shared" si="45"/>
        <v>0.34624363428669813</v>
      </c>
      <c r="G959">
        <f t="shared" si="46"/>
        <v>0</v>
      </c>
    </row>
    <row r="960" spans="4:7" x14ac:dyDescent="0.55000000000000004">
      <c r="D960">
        <v>0.46551804189221002</v>
      </c>
      <c r="E960" s="5">
        <f t="shared" si="44"/>
        <v>0.19036275060052177</v>
      </c>
      <c r="F960" s="5">
        <f t="shared" si="45"/>
        <v>0.25554412590078246</v>
      </c>
      <c r="G960">
        <f t="shared" si="46"/>
        <v>0</v>
      </c>
    </row>
    <row r="961" spans="4:7" x14ac:dyDescent="0.55000000000000004">
      <c r="D961">
        <v>-0.15898081073828507</v>
      </c>
      <c r="E961" s="5">
        <f t="shared" si="44"/>
        <v>6.9139878461813006E-2</v>
      </c>
      <c r="F961" s="5">
        <f t="shared" si="45"/>
        <v>7.3709817692719337E-2</v>
      </c>
      <c r="G961">
        <f t="shared" si="46"/>
        <v>0</v>
      </c>
    </row>
    <row r="962" spans="4:7" x14ac:dyDescent="0.55000000000000004">
      <c r="D962">
        <v>1.4857960195513442</v>
      </c>
      <c r="E962" s="5">
        <f t="shared" si="44"/>
        <v>0.3884111958630681</v>
      </c>
      <c r="F962" s="5">
        <f t="shared" si="45"/>
        <v>0.55261679379460227</v>
      </c>
      <c r="G962">
        <f t="shared" si="46"/>
        <v>0</v>
      </c>
    </row>
    <row r="963" spans="4:7" x14ac:dyDescent="0.55000000000000004">
      <c r="D963">
        <v>-0.57089437177637592</v>
      </c>
      <c r="E963" s="5">
        <f t="shared" si="44"/>
        <v>-1.0817586202201954E-2</v>
      </c>
      <c r="F963" s="5">
        <f t="shared" si="45"/>
        <v>-4.6226379303302978E-2</v>
      </c>
      <c r="G963">
        <f t="shared" si="46"/>
        <v>1</v>
      </c>
    </row>
    <row r="964" spans="4:7" x14ac:dyDescent="0.55000000000000004">
      <c r="D964">
        <v>0.85228748503141105</v>
      </c>
      <c r="E964" s="5">
        <f t="shared" ref="E964:E1002" si="47">$B$3+D964*$B$4</f>
        <v>0.26543943417701532</v>
      </c>
      <c r="F964" s="5">
        <f t="shared" ref="F964:F1002" si="48">($B$2*(1+E964)-$B$5*(1+$B$6))/$B$7-1</f>
        <v>0.36815915126552312</v>
      </c>
      <c r="G964">
        <f t="shared" ref="G964:G1002" si="49">IF(F964&lt;E964,1,0)</f>
        <v>0</v>
      </c>
    </row>
    <row r="965" spans="4:7" x14ac:dyDescent="0.55000000000000004">
      <c r="D965">
        <v>0.70170358412724454</v>
      </c>
      <c r="E965" s="5">
        <f t="shared" si="47"/>
        <v>0.23620925562894607</v>
      </c>
      <c r="F965" s="5">
        <f t="shared" si="48"/>
        <v>0.32431388344341894</v>
      </c>
      <c r="G965">
        <f t="shared" si="49"/>
        <v>0</v>
      </c>
    </row>
    <row r="966" spans="4:7" x14ac:dyDescent="0.55000000000000004">
      <c r="D966">
        <v>-1.1568795343919192</v>
      </c>
      <c r="E966" s="5">
        <f t="shared" si="47"/>
        <v>-0.12456447964117917</v>
      </c>
      <c r="F966" s="5">
        <f t="shared" si="48"/>
        <v>-0.21684671946176859</v>
      </c>
      <c r="G966">
        <f t="shared" si="49"/>
        <v>1</v>
      </c>
    </row>
    <row r="967" spans="4:7" x14ac:dyDescent="0.55000000000000004">
      <c r="D967">
        <v>6.4111418396350928E-2</v>
      </c>
      <c r="E967" s="5">
        <f t="shared" si="47"/>
        <v>0.11244481113481007</v>
      </c>
      <c r="F967" s="5">
        <f t="shared" si="48"/>
        <v>0.13866721670221493</v>
      </c>
      <c r="G967">
        <f t="shared" si="49"/>
        <v>0</v>
      </c>
    </row>
    <row r="968" spans="4:7" x14ac:dyDescent="0.55000000000000004">
      <c r="D968">
        <v>0.67331370701140258</v>
      </c>
      <c r="E968" s="5">
        <f t="shared" si="47"/>
        <v>0.23069843294424269</v>
      </c>
      <c r="F968" s="5">
        <f t="shared" si="48"/>
        <v>0.31604764941636421</v>
      </c>
      <c r="G968">
        <f t="shared" si="49"/>
        <v>0</v>
      </c>
    </row>
    <row r="969" spans="4:7" x14ac:dyDescent="0.55000000000000004">
      <c r="D969">
        <v>6.0432512327679433E-2</v>
      </c>
      <c r="E969" s="5">
        <f t="shared" si="47"/>
        <v>0.11173069043131414</v>
      </c>
      <c r="F969" s="5">
        <f t="shared" si="48"/>
        <v>0.13759603564697143</v>
      </c>
      <c r="G969">
        <f t="shared" si="49"/>
        <v>0</v>
      </c>
    </row>
    <row r="970" spans="4:7" x14ac:dyDescent="0.55000000000000004">
      <c r="D970">
        <v>-1.0222765922662802</v>
      </c>
      <c r="E970" s="5">
        <f t="shared" si="47"/>
        <v>-9.8436400823963488E-2</v>
      </c>
      <c r="F970" s="5">
        <f t="shared" si="48"/>
        <v>-0.17765460123594534</v>
      </c>
      <c r="G970">
        <f t="shared" si="49"/>
        <v>1</v>
      </c>
    </row>
    <row r="971" spans="4:7" x14ac:dyDescent="0.55000000000000004">
      <c r="D971">
        <v>-1.8781156541081145</v>
      </c>
      <c r="E971" s="5">
        <f t="shared" si="47"/>
        <v>-0.26456523953673944</v>
      </c>
      <c r="F971" s="5">
        <f t="shared" si="48"/>
        <v>-0.42684785930510916</v>
      </c>
      <c r="G971">
        <f t="shared" si="49"/>
        <v>1</v>
      </c>
    </row>
    <row r="972" spans="4:7" x14ac:dyDescent="0.55000000000000004">
      <c r="D972">
        <v>0.63737388700246811</v>
      </c>
      <c r="E972" s="5">
        <f t="shared" si="47"/>
        <v>0.2237220739208754</v>
      </c>
      <c r="F972" s="5">
        <f t="shared" si="48"/>
        <v>0.30558311088131296</v>
      </c>
      <c r="G972">
        <f t="shared" si="49"/>
        <v>0</v>
      </c>
    </row>
    <row r="973" spans="4:7" x14ac:dyDescent="0.55000000000000004">
      <c r="D973">
        <v>-0.83384065874270163</v>
      </c>
      <c r="E973" s="5">
        <f t="shared" si="47"/>
        <v>-6.1858679376358777E-2</v>
      </c>
      <c r="F973" s="5">
        <f t="shared" si="48"/>
        <v>-0.12278801906453829</v>
      </c>
      <c r="G973">
        <f t="shared" si="49"/>
        <v>1</v>
      </c>
    </row>
    <row r="974" spans="4:7" x14ac:dyDescent="0.55000000000000004">
      <c r="D974">
        <v>0.63559468799212482</v>
      </c>
      <c r="E974" s="5">
        <f t="shared" si="47"/>
        <v>0.22337670961278794</v>
      </c>
      <c r="F974" s="5">
        <f t="shared" si="48"/>
        <v>0.30506506441918169</v>
      </c>
      <c r="G974">
        <f t="shared" si="49"/>
        <v>0</v>
      </c>
    </row>
    <row r="975" spans="4:7" x14ac:dyDescent="0.55000000000000004">
      <c r="D975">
        <v>0.75852994996239431</v>
      </c>
      <c r="E975" s="5">
        <f t="shared" si="47"/>
        <v>0.2472399488811845</v>
      </c>
      <c r="F975" s="5">
        <f t="shared" si="48"/>
        <v>0.34085992332177661</v>
      </c>
      <c r="G975">
        <f t="shared" si="49"/>
        <v>0</v>
      </c>
    </row>
    <row r="976" spans="4:7" x14ac:dyDescent="0.55000000000000004">
      <c r="D976">
        <v>1.6082003639894538</v>
      </c>
      <c r="E976" s="5">
        <f t="shared" si="47"/>
        <v>0.41217137753921113</v>
      </c>
      <c r="F976" s="5">
        <f t="shared" si="48"/>
        <v>0.58825706630881647</v>
      </c>
      <c r="G976">
        <f t="shared" si="49"/>
        <v>0</v>
      </c>
    </row>
    <row r="977" spans="4:7" x14ac:dyDescent="0.55000000000000004">
      <c r="D977">
        <v>-0.19145318219671026</v>
      </c>
      <c r="E977" s="5">
        <f t="shared" si="47"/>
        <v>6.2836593649095468E-2</v>
      </c>
      <c r="F977" s="5">
        <f t="shared" si="48"/>
        <v>6.42548904736433E-2</v>
      </c>
      <c r="G977">
        <f t="shared" si="49"/>
        <v>0</v>
      </c>
    </row>
    <row r="978" spans="4:7" x14ac:dyDescent="0.55000000000000004">
      <c r="D978">
        <v>2.2866333893034607</v>
      </c>
      <c r="E978" s="5">
        <f t="shared" si="47"/>
        <v>0.54386353283445565</v>
      </c>
      <c r="F978" s="5">
        <f t="shared" si="48"/>
        <v>0.78579529925168345</v>
      </c>
      <c r="G978">
        <f t="shared" si="49"/>
        <v>0</v>
      </c>
    </row>
    <row r="979" spans="4:7" x14ac:dyDescent="0.55000000000000004">
      <c r="D979">
        <v>1.3114595276420005</v>
      </c>
      <c r="E979" s="5">
        <f t="shared" si="47"/>
        <v>0.35457034863201359</v>
      </c>
      <c r="F979" s="5">
        <f t="shared" si="48"/>
        <v>0.50185552294802038</v>
      </c>
      <c r="G979">
        <f t="shared" si="49"/>
        <v>0</v>
      </c>
    </row>
    <row r="980" spans="4:7" x14ac:dyDescent="0.55000000000000004">
      <c r="D980">
        <v>-2.6789348339661956</v>
      </c>
      <c r="E980" s="5">
        <f t="shared" si="47"/>
        <v>-0.42001404562702194</v>
      </c>
      <c r="F980" s="5">
        <f t="shared" si="48"/>
        <v>-0.66002106844053288</v>
      </c>
      <c r="G980">
        <f t="shared" si="49"/>
        <v>1</v>
      </c>
    </row>
    <row r="981" spans="4:7" x14ac:dyDescent="0.55000000000000004">
      <c r="D981">
        <v>0.32763637136667967</v>
      </c>
      <c r="E981" s="5">
        <f t="shared" si="47"/>
        <v>0.1635982304641212</v>
      </c>
      <c r="F981" s="5">
        <f t="shared" si="48"/>
        <v>0.21539734569618196</v>
      </c>
      <c r="G981">
        <f t="shared" si="49"/>
        <v>0</v>
      </c>
    </row>
    <row r="982" spans="4:7" x14ac:dyDescent="0.55000000000000004">
      <c r="D982">
        <v>-1.2493046597228386</v>
      </c>
      <c r="E982" s="5">
        <f t="shared" si="47"/>
        <v>-0.14250532789606526</v>
      </c>
      <c r="F982" s="5">
        <f t="shared" si="48"/>
        <v>-0.24375799184409785</v>
      </c>
      <c r="G982">
        <f t="shared" si="49"/>
        <v>1</v>
      </c>
    </row>
    <row r="983" spans="4:7" x14ac:dyDescent="0.55000000000000004">
      <c r="D983">
        <v>0.77515778684755787</v>
      </c>
      <c r="E983" s="5">
        <f t="shared" si="47"/>
        <v>0.25046761557133634</v>
      </c>
      <c r="F983" s="5">
        <f t="shared" si="48"/>
        <v>0.34570142335700438</v>
      </c>
      <c r="G983">
        <f t="shared" si="49"/>
        <v>0</v>
      </c>
    </row>
    <row r="984" spans="4:7" x14ac:dyDescent="0.55000000000000004">
      <c r="D984">
        <v>-0.12760096979036462</v>
      </c>
      <c r="E984" s="5">
        <f t="shared" si="47"/>
        <v>7.5231089728158618E-2</v>
      </c>
      <c r="F984" s="5">
        <f t="shared" si="48"/>
        <v>8.2846634592238066E-2</v>
      </c>
      <c r="G984">
        <f t="shared" si="49"/>
        <v>0</v>
      </c>
    </row>
    <row r="985" spans="4:7" x14ac:dyDescent="0.55000000000000004">
      <c r="D985">
        <v>0.90714593170559965</v>
      </c>
      <c r="E985" s="5">
        <f t="shared" si="47"/>
        <v>0.27608813022970141</v>
      </c>
      <c r="F985" s="5">
        <f t="shared" si="48"/>
        <v>0.38413219534455201</v>
      </c>
      <c r="G985">
        <f t="shared" si="49"/>
        <v>0</v>
      </c>
    </row>
    <row r="986" spans="4:7" x14ac:dyDescent="0.55000000000000004">
      <c r="D986">
        <v>0.6043512712494703</v>
      </c>
      <c r="E986" s="5">
        <f t="shared" si="47"/>
        <v>0.21731197995473017</v>
      </c>
      <c r="F986" s="5">
        <f t="shared" si="48"/>
        <v>0.2959679699320954</v>
      </c>
      <c r="G986">
        <f t="shared" si="49"/>
        <v>0</v>
      </c>
    </row>
    <row r="987" spans="4:7" x14ac:dyDescent="0.55000000000000004">
      <c r="D987">
        <v>-1.6952435544226319</v>
      </c>
      <c r="E987" s="5">
        <f t="shared" si="47"/>
        <v>-0.22906752634714123</v>
      </c>
      <c r="F987" s="5">
        <f t="shared" si="48"/>
        <v>-0.37360128952071192</v>
      </c>
      <c r="G987">
        <f t="shared" si="49"/>
        <v>1</v>
      </c>
    </row>
    <row r="988" spans="4:7" x14ac:dyDescent="0.55000000000000004">
      <c r="D988">
        <v>-0.91653646450140513</v>
      </c>
      <c r="E988" s="5">
        <f t="shared" si="47"/>
        <v>-7.7910947600182384E-2</v>
      </c>
      <c r="F988" s="5">
        <f t="shared" si="48"/>
        <v>-0.14686642140027362</v>
      </c>
      <c r="G988">
        <f t="shared" si="49"/>
        <v>1</v>
      </c>
    </row>
    <row r="989" spans="4:7" x14ac:dyDescent="0.55000000000000004">
      <c r="D989">
        <v>-0.43184627429582179</v>
      </c>
      <c r="E989" s="5">
        <f t="shared" si="47"/>
        <v>1.6173351685059803E-2</v>
      </c>
      <c r="F989" s="5">
        <f t="shared" si="48"/>
        <v>-5.7399724724104262E-3</v>
      </c>
      <c r="G989">
        <f t="shared" si="49"/>
        <v>1</v>
      </c>
    </row>
    <row r="990" spans="4:7" x14ac:dyDescent="0.55000000000000004">
      <c r="D990">
        <v>-0.71942849899642169</v>
      </c>
      <c r="E990" s="5">
        <f t="shared" si="47"/>
        <v>-3.9649878585746146E-2</v>
      </c>
      <c r="F990" s="5">
        <f t="shared" si="48"/>
        <v>-8.9474817878619217E-2</v>
      </c>
      <c r="G990">
        <f t="shared" si="49"/>
        <v>1</v>
      </c>
    </row>
    <row r="991" spans="4:7" x14ac:dyDescent="0.55000000000000004">
      <c r="D991">
        <v>0.97344582172809169</v>
      </c>
      <c r="E991" s="5">
        <f t="shared" si="47"/>
        <v>0.28895775049746258</v>
      </c>
      <c r="F991" s="5">
        <f t="shared" si="48"/>
        <v>0.40343662574619366</v>
      </c>
      <c r="G991">
        <f t="shared" si="49"/>
        <v>0</v>
      </c>
    </row>
    <row r="992" spans="4:7" x14ac:dyDescent="0.55000000000000004">
      <c r="D992">
        <v>-0.185145836439915</v>
      </c>
      <c r="E992" s="5">
        <f t="shared" si="47"/>
        <v>6.4060926672270785E-2</v>
      </c>
      <c r="F992" s="5">
        <f t="shared" si="48"/>
        <v>6.6091390008406137E-2</v>
      </c>
      <c r="G992">
        <f t="shared" si="49"/>
        <v>0</v>
      </c>
    </row>
    <row r="993" spans="4:7" x14ac:dyDescent="0.55000000000000004">
      <c r="D993">
        <v>-1.6414151104982011</v>
      </c>
      <c r="E993" s="5">
        <f t="shared" si="47"/>
        <v>-0.21861876643702849</v>
      </c>
      <c r="F993" s="5">
        <f t="shared" si="48"/>
        <v>-0.35792814965554276</v>
      </c>
      <c r="G993">
        <f t="shared" si="49"/>
        <v>1</v>
      </c>
    </row>
    <row r="994" spans="4:7" x14ac:dyDescent="0.55000000000000004">
      <c r="D994">
        <v>0.80642848843126558</v>
      </c>
      <c r="E994" s="5">
        <f t="shared" si="47"/>
        <v>0.25653764155105163</v>
      </c>
      <c r="F994" s="5">
        <f t="shared" si="48"/>
        <v>0.35480646232657742</v>
      </c>
      <c r="G994">
        <f t="shared" si="49"/>
        <v>0</v>
      </c>
    </row>
    <row r="995" spans="4:7" x14ac:dyDescent="0.55000000000000004">
      <c r="D995">
        <v>0.89155491878045723</v>
      </c>
      <c r="E995" s="5">
        <f t="shared" si="47"/>
        <v>0.27306172376253735</v>
      </c>
      <c r="F995" s="5">
        <f t="shared" si="48"/>
        <v>0.37959258564380582</v>
      </c>
      <c r="G995">
        <f t="shared" si="49"/>
        <v>0</v>
      </c>
    </row>
    <row r="996" spans="4:7" x14ac:dyDescent="0.55000000000000004">
      <c r="D996">
        <v>-0.5594961294264067</v>
      </c>
      <c r="E996" s="5">
        <f t="shared" si="47"/>
        <v>-8.6050478297513694E-3</v>
      </c>
      <c r="F996" s="5">
        <f t="shared" si="48"/>
        <v>-4.2907571744627004E-2</v>
      </c>
      <c r="G996">
        <f t="shared" si="49"/>
        <v>1</v>
      </c>
    </row>
    <row r="997" spans="4:7" x14ac:dyDescent="0.55000000000000004">
      <c r="D997">
        <v>1.3437738743959926</v>
      </c>
      <c r="E997" s="5">
        <f t="shared" si="47"/>
        <v>0.36084295891513102</v>
      </c>
      <c r="F997" s="5">
        <f t="shared" si="48"/>
        <v>0.51126443837269653</v>
      </c>
      <c r="G997">
        <f t="shared" si="49"/>
        <v>0</v>
      </c>
    </row>
    <row r="998" spans="4:7" x14ac:dyDescent="0.55000000000000004">
      <c r="D998">
        <v>-0.34918457458843477</v>
      </c>
      <c r="E998" s="5">
        <f t="shared" si="47"/>
        <v>3.2218999506811466E-2</v>
      </c>
      <c r="F998" s="5">
        <f t="shared" si="48"/>
        <v>1.8328499260217068E-2</v>
      </c>
      <c r="G998">
        <f t="shared" si="49"/>
        <v>1</v>
      </c>
    </row>
    <row r="999" spans="4:7" x14ac:dyDescent="0.55000000000000004">
      <c r="D999">
        <v>-0.9434143066755496</v>
      </c>
      <c r="E999" s="5">
        <f t="shared" si="47"/>
        <v>-8.3128265793028677E-2</v>
      </c>
      <c r="F999" s="5">
        <f t="shared" si="48"/>
        <v>-0.15469239868954299</v>
      </c>
      <c r="G999">
        <f t="shared" si="49"/>
        <v>1</v>
      </c>
    </row>
    <row r="1000" spans="4:7" x14ac:dyDescent="0.55000000000000004">
      <c r="D1000">
        <v>-0.38832581594760995</v>
      </c>
      <c r="E1000" s="5">
        <f t="shared" si="47"/>
        <v>2.4621205408955765E-2</v>
      </c>
      <c r="F1000" s="5">
        <f t="shared" si="48"/>
        <v>6.9318081134337461E-3</v>
      </c>
      <c r="G1000">
        <f t="shared" si="49"/>
        <v>1</v>
      </c>
    </row>
    <row r="1001" spans="4:7" x14ac:dyDescent="0.55000000000000004">
      <c r="D1001">
        <v>-0.90853063738904893</v>
      </c>
      <c r="E1001" s="5">
        <f t="shared" si="47"/>
        <v>-7.6356918553823233E-2</v>
      </c>
      <c r="F1001" s="5">
        <f t="shared" si="48"/>
        <v>-0.14453537783073478</v>
      </c>
      <c r="G1001">
        <f t="shared" si="49"/>
        <v>1</v>
      </c>
    </row>
    <row r="1002" spans="4:7" x14ac:dyDescent="0.55000000000000004">
      <c r="D1002">
        <v>0.19940671336371452</v>
      </c>
      <c r="E1002" s="5">
        <f t="shared" si="47"/>
        <v>0.13870728411408664</v>
      </c>
      <c r="F1002" s="5">
        <f t="shared" si="48"/>
        <v>0.1780609261711299</v>
      </c>
      <c r="G1002">
        <f t="shared" si="49"/>
        <v>0</v>
      </c>
    </row>
  </sheetData>
  <mergeCells count="3">
    <mergeCell ref="N2:O2"/>
    <mergeCell ref="Q2:R2"/>
    <mergeCell ref="J5:K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Sheet1</vt:lpstr>
      <vt:lpstr>Sheet2</vt:lpstr>
      <vt:lpstr>ROARange</vt:lpstr>
      <vt:lpstr>ROERange</vt:lpstr>
      <vt:lpstr>RVar</vt:lpstr>
      <vt:lpstr>RVarRange</vt:lpstr>
    </vt:vector>
  </TitlesOfParts>
  <Company>Syracuse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 Shukla</dc:creator>
  <cp:lastModifiedBy>Mohamed</cp:lastModifiedBy>
  <cp:lastPrinted>2008-12-10T22:01:33Z</cp:lastPrinted>
  <dcterms:created xsi:type="dcterms:W3CDTF">2008-12-10T21:14:13Z</dcterms:created>
  <dcterms:modified xsi:type="dcterms:W3CDTF">2016-12-24T20:43:34Z</dcterms:modified>
</cp:coreProperties>
</file>
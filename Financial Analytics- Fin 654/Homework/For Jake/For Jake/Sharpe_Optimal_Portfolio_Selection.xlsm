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hal\Desktop\For Jake\"/>
    </mc:Choice>
  </mc:AlternateContent>
  <bookViews>
    <workbookView xWindow="0" yWindow="0" windowWidth="23040" windowHeight="8805" activeTab="3" xr2:uid="{00000000-000D-0000-FFFF-FFFF00000000}"/>
  </bookViews>
  <sheets>
    <sheet name="Introduction" sheetId="22" r:id="rId1"/>
    <sheet name="Data" sheetId="24" r:id="rId2"/>
    <sheet name="Models" sheetId="21" r:id="rId3"/>
    <sheet name="Chart1" sheetId="26" r:id="rId4"/>
  </sheets>
  <definedNames>
    <definedName name="__123Graph_A1" localSheetId="0" hidden="1">#REF!</definedName>
    <definedName name="__123Graph_LBL_A" localSheetId="0" hidden="1">#REF!</definedName>
    <definedName name="A">Data!$B$3</definedName>
    <definedName name="AllWts_P0">Models!$C$16:$C$35</definedName>
    <definedName name="AllWts_P0A">Models!$G$16:$G$35</definedName>
    <definedName name="AllWts_P1">Models!$K$16:$K$35</definedName>
    <definedName name="AllWts_P2">Models!$O$16:$O$35</definedName>
    <definedName name="AllWts_P3">Models!$S$16:$S$35</definedName>
    <definedName name="AllWts_P4">Models!$W$16:$W$35</definedName>
    <definedName name="AllWts_P5">Models!$AA$16:$AA$35</definedName>
    <definedName name="Alpha">OFFSET(Data!$C$8,1,0,NStocks,1)</definedName>
    <definedName name="alpha_P0">Models!$C$38</definedName>
    <definedName name="alpha_P0A">Models!$G$38</definedName>
    <definedName name="alpha_P1">Models!$K$38</definedName>
    <definedName name="alpha_P2">Models!$O$38</definedName>
    <definedName name="alpha_P3">Models!$S$38</definedName>
    <definedName name="alpha_P4">Models!$W$38</definedName>
    <definedName name="alpha_P5">Models!$AA$38</definedName>
    <definedName name="Beta">OFFSET(Data!$D$8,1,0,NStocks,1)</definedName>
    <definedName name="beta_P0">Models!$C$39</definedName>
    <definedName name="beta_P0A">Models!$G$39</definedName>
    <definedName name="beta_P1">Models!$K$39</definedName>
    <definedName name="beta_P2">Models!$O$39</definedName>
    <definedName name="beta_P3">Models!$S$39</definedName>
    <definedName name="beta_P4">Models!$W$39</definedName>
    <definedName name="beta_P5">Models!$AA$39</definedName>
    <definedName name="beta_P5_Max">Models!$AA$13</definedName>
    <definedName name="beta_P5_Min">Models!$Z$13</definedName>
    <definedName name="Cov">OFFSET(Data!$BQ$8,1,0,NStocks,NStocks)</definedName>
    <definedName name="Ell">OFFSET(Data!$S$8,1,0,NStocks,1)</definedName>
    <definedName name="ER">OFFSET(Data!$X$8,1,0,NStocks,1)</definedName>
    <definedName name="ER_M">Data!$B$5</definedName>
    <definedName name="ER_P0">Models!$C$41</definedName>
    <definedName name="ER_P0A">Models!$G$41</definedName>
    <definedName name="ER_P1">Models!$K$41</definedName>
    <definedName name="ER_P2">Models!$O$41</definedName>
    <definedName name="ER_P2_Max">Models!$O$13</definedName>
    <definedName name="ER_P2_Min">Models!$N$13</definedName>
    <definedName name="ER_P3">Models!$S$41</definedName>
    <definedName name="ER_P4">Models!$W$41</definedName>
    <definedName name="ER_P5">Models!$AA$41</definedName>
    <definedName name="EU_P0">Models!$C$43</definedName>
    <definedName name="EU_P1">Models!$K$43</definedName>
    <definedName name="EU_P2">Models!$O$43</definedName>
    <definedName name="EU_P3">Models!$S$43</definedName>
    <definedName name="EU_P4">Models!$W$43</definedName>
    <definedName name="MaxWtsColumnTitle">Models!$AE$14</definedName>
    <definedName name="MinWtsColumnTitle">Models!$AD$14</definedName>
    <definedName name="NStocks">Data!$B$2</definedName>
    <definedName name="PoL_P0">Models!$C$44</definedName>
    <definedName name="PoL_P1">Models!$K$44</definedName>
    <definedName name="PoL_P2">Models!$O$44</definedName>
    <definedName name="PoL_P3">Models!$S$44</definedName>
    <definedName name="PoL_P4">Models!$W$44</definedName>
    <definedName name="PoL_P5">Models!$AA$44</definedName>
    <definedName name="rf">Data!$B$4</definedName>
    <definedName name="sigma">OFFSET(Data!$Y$8,1,0,NStocks,1)</definedName>
    <definedName name="sigma_e">OFFSET(Data!$E$8,1,0,NStocks,1)</definedName>
    <definedName name="sigma_e_P0">Models!$C$40</definedName>
    <definedName name="sigma_e_P0A">Models!$G$40</definedName>
    <definedName name="sigma_e_P1">Models!$K$40</definedName>
    <definedName name="sigma_e_P2">Models!$O$40</definedName>
    <definedName name="sigma_e_P3">Models!$S$40</definedName>
    <definedName name="sigma_e_P4">Models!$W$40</definedName>
    <definedName name="sigma_e_P5">Models!$AA$40</definedName>
    <definedName name="sigma_M">Data!$B$6</definedName>
    <definedName name="sigma_P0">Models!$C$42</definedName>
    <definedName name="sigma_P0A">Models!$G$42</definedName>
    <definedName name="sigma_P1">Models!$K$42</definedName>
    <definedName name="sigma_P2">Models!$O$42</definedName>
    <definedName name="sigma_P3">Models!$S$42</definedName>
    <definedName name="sigma_P3_Max">Models!$S$13</definedName>
    <definedName name="sigma_P3_Min">Models!$R$13</definedName>
    <definedName name="sigma_P4">Models!$W$42</definedName>
    <definedName name="sigma_P5">Models!$AA$42</definedName>
    <definedName name="Slope_P0">Models!$C$45</definedName>
    <definedName name="Slope_P1">Models!$K$45</definedName>
    <definedName name="Slope_P2">Models!$O$45</definedName>
    <definedName name="Slope_P3">Models!$S$45</definedName>
    <definedName name="Slope_P4">Models!$W$45</definedName>
    <definedName name="solver_adj" localSheetId="1" hidden="1">Data!#REF!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Data!#REF!</definedName>
    <definedName name="solver_lhs1" localSheetId="2" hidden="1">Models!$AA$39</definedName>
    <definedName name="solver_lhs2" localSheetId="1" hidden="1">Data!#REF!</definedName>
    <definedName name="solver_lhs2" localSheetId="2" hidden="1">Models!$AA$39</definedName>
    <definedName name="solver_lhs3" localSheetId="1" hidden="1">Data!#REF!</definedName>
    <definedName name="solver_lhs3" localSheetId="2" hidden="1">Models!$AA$16:$AA$33</definedName>
    <definedName name="solver_lhs4" localSheetId="1" hidden="1">Data!#REF!</definedName>
    <definedName name="solver_lhs4" localSheetId="2" hidden="1">Models!$AA$16:$AA$33</definedName>
    <definedName name="solver_lhs5" localSheetId="1" hidden="1">Data!#REF!</definedName>
    <definedName name="solver_lhs5" localSheetId="2" hidden="1">Models!$AA$37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5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Data!#REF!</definedName>
    <definedName name="solver_pre" localSheetId="1" hidden="1">0.000001</definedName>
    <definedName name="solver_pre" localSheetId="2" hidden="1">0.000001</definedName>
    <definedName name="solver_rel1" localSheetId="1" hidden="1">1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2</definedName>
    <definedName name="solver_rel5" localSheetId="2" hidden="1">2</definedName>
    <definedName name="solver_rhs1" localSheetId="1" hidden="1">[0]!ER_P2_Max</definedName>
    <definedName name="solver_rhs1" localSheetId="2" hidden="1">beta_P5_Max</definedName>
    <definedName name="solver_rhs2" localSheetId="1" hidden="1">[0]!ER_P2_Min</definedName>
    <definedName name="solver_rhs2" localSheetId="2" hidden="1">beta_P5_Min</definedName>
    <definedName name="solver_rhs3" localSheetId="1" hidden="1">[0]!Wts_Max</definedName>
    <definedName name="solver_rhs3" localSheetId="2" hidden="1">Models!AE16:AE33</definedName>
    <definedName name="solver_rhs4" localSheetId="1" hidden="1">[0]!Wts_Min</definedName>
    <definedName name="solver_rhs4" localSheetId="2" hidden="1">Models!AD16:AD33</definedName>
    <definedName name="solver_rhs5" localSheetId="1" hidden="1">1</definedName>
    <definedName name="solver_rhs5" localSheetId="2" hidden="1">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tockTitle">Models!$AC$15</definedName>
    <definedName name="StockTitleRow">Models!$AC$14</definedName>
    <definedName name="SumWts_P0">Models!$C$37</definedName>
    <definedName name="SumWts_P0A">Models!$G$37</definedName>
    <definedName name="SumWts_P1">Models!$K$37</definedName>
    <definedName name="SumWts_P2">Models!$O$37</definedName>
    <definedName name="SumWts_P3">Models!$S$37</definedName>
    <definedName name="SumWts_P4">Models!$W$37</definedName>
    <definedName name="SumWts_P5">Models!$AA$37</definedName>
    <definedName name="Wts_Max">OFFSET(Models!$AE$16,1,0,NStocks,1)</definedName>
    <definedName name="Wts_Min">OFFSET(Models!$AD$16,1,0,NStocks,1)</definedName>
    <definedName name="Wts_P0">OFFSET(Models!$C$15,1,0,NStocks,1)</definedName>
    <definedName name="Wts_P0A">OFFSET(Models!$G$15,1,0,NStocks,1)</definedName>
    <definedName name="Wts_P1">OFFSET(Models!$K$15,1,0,NStocks,1)</definedName>
    <definedName name="Wts_P2">OFFSET(Models!$O$15,1,0,NStocks,1)</definedName>
    <definedName name="Wts_P3">OFFSET(Models!$S$15,1,0,NStocks,1)</definedName>
    <definedName name="Wts_P4">OFFSET(Models!$W$15,1,0,NStocks,1)</definedName>
    <definedName name="Wts_P5">OFFSET(Models!$AA$15,1,0,NStocks,1)</definedName>
  </definedNames>
  <calcPr calcId="171027"/>
</workbook>
</file>

<file path=xl/calcChain.xml><?xml version="1.0" encoding="utf-8"?>
<calcChain xmlns="http://schemas.openxmlformats.org/spreadsheetml/2006/main">
  <c r="W53" i="21" l="1"/>
  <c r="Z35" i="21"/>
  <c r="Z34" i="21"/>
  <c r="Z33" i="21"/>
  <c r="Z32" i="21"/>
  <c r="Z31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V35" i="21"/>
  <c r="V34" i="21"/>
  <c r="V33" i="21"/>
  <c r="V32" i="21"/>
  <c r="V31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16" i="21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8" i="24"/>
  <c r="X9" i="24"/>
  <c r="AT8" i="24"/>
  <c r="AT28" i="24" s="1"/>
  <c r="AS8" i="24"/>
  <c r="BN8" i="24" s="1"/>
  <c r="AR8" i="24"/>
  <c r="BM8" i="24" s="1"/>
  <c r="AQ8" i="24"/>
  <c r="BL8" i="24" s="1"/>
  <c r="AP8" i="24"/>
  <c r="BK8" i="24" s="1"/>
  <c r="AO8" i="24"/>
  <c r="BJ8" i="24" s="1"/>
  <c r="AN8" i="24"/>
  <c r="BI8" i="24" s="1"/>
  <c r="AM8" i="24"/>
  <c r="BH8" i="24" s="1"/>
  <c r="AL8" i="24"/>
  <c r="BG8" i="24" s="1"/>
  <c r="AK8" i="24"/>
  <c r="BF8" i="24" s="1"/>
  <c r="AJ8" i="24"/>
  <c r="BE8" i="24" s="1"/>
  <c r="AI8" i="24"/>
  <c r="BD8" i="24" s="1"/>
  <c r="AH8" i="24"/>
  <c r="BC8" i="24" s="1"/>
  <c r="AG8" i="24"/>
  <c r="BB8" i="24" s="1"/>
  <c r="AF8" i="24"/>
  <c r="BA8" i="24" s="1"/>
  <c r="AE8" i="24"/>
  <c r="AZ8" i="24" s="1"/>
  <c r="AD8" i="24"/>
  <c r="AY8" i="24" s="1"/>
  <c r="AC8" i="24"/>
  <c r="AX8" i="24" s="1"/>
  <c r="AB8" i="24"/>
  <c r="AW8" i="24" s="1"/>
  <c r="AA8" i="24"/>
  <c r="AA9" i="24" s="1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9" i="24"/>
  <c r="AV8" i="24" l="1"/>
  <c r="BO8" i="24"/>
  <c r="AB28" i="24"/>
  <c r="AD28" i="24"/>
  <c r="AF28" i="24"/>
  <c r="AH28" i="24"/>
  <c r="AJ28" i="24"/>
  <c r="AL28" i="24"/>
  <c r="AN28" i="24"/>
  <c r="AP28" i="24"/>
  <c r="AR28" i="24"/>
  <c r="AC28" i="24"/>
  <c r="AE28" i="24"/>
  <c r="AG28" i="24"/>
  <c r="AI28" i="24"/>
  <c r="AK28" i="24"/>
  <c r="AM28" i="24"/>
  <c r="AO28" i="24"/>
  <c r="AQ28" i="24"/>
  <c r="AS28" i="24"/>
  <c r="AB9" i="24"/>
  <c r="AD9" i="24"/>
  <c r="AF9" i="24"/>
  <c r="AH9" i="24"/>
  <c r="AJ9" i="24"/>
  <c r="AL9" i="24"/>
  <c r="AN9" i="24"/>
  <c r="AP9" i="24"/>
  <c r="AR9" i="24"/>
  <c r="AT9" i="24"/>
  <c r="AB10" i="24"/>
  <c r="AD10" i="24"/>
  <c r="AF10" i="24"/>
  <c r="AH10" i="24"/>
  <c r="AJ10" i="24"/>
  <c r="AL10" i="24"/>
  <c r="AN10" i="24"/>
  <c r="AP10" i="24"/>
  <c r="AR10" i="24"/>
  <c r="AT10" i="24"/>
  <c r="AB11" i="24"/>
  <c r="AD11" i="24"/>
  <c r="AF11" i="24"/>
  <c r="AH11" i="24"/>
  <c r="AJ11" i="24"/>
  <c r="AL11" i="24"/>
  <c r="AN11" i="24"/>
  <c r="AP11" i="24"/>
  <c r="AR11" i="24"/>
  <c r="AT11" i="24"/>
  <c r="AB12" i="24"/>
  <c r="AD12" i="24"/>
  <c r="AF12" i="24"/>
  <c r="AH12" i="24"/>
  <c r="AJ12" i="24"/>
  <c r="AL12" i="24"/>
  <c r="AN12" i="24"/>
  <c r="AP12" i="24"/>
  <c r="AR12" i="24"/>
  <c r="AT12" i="24"/>
  <c r="AB13" i="24"/>
  <c r="AD13" i="24"/>
  <c r="AF13" i="24"/>
  <c r="AH13" i="24"/>
  <c r="AJ13" i="24"/>
  <c r="AL13" i="24"/>
  <c r="AN13" i="24"/>
  <c r="AP13" i="24"/>
  <c r="AR13" i="24"/>
  <c r="AT13" i="24"/>
  <c r="AB14" i="24"/>
  <c r="AD14" i="24"/>
  <c r="AF14" i="24"/>
  <c r="AH14" i="24"/>
  <c r="AJ14" i="24"/>
  <c r="AL14" i="24"/>
  <c r="AN14" i="24"/>
  <c r="AP14" i="24"/>
  <c r="AR14" i="24"/>
  <c r="AT14" i="24"/>
  <c r="AB15" i="24"/>
  <c r="AD15" i="24"/>
  <c r="AF15" i="24"/>
  <c r="AH15" i="24"/>
  <c r="AJ15" i="24"/>
  <c r="AL15" i="24"/>
  <c r="AN15" i="24"/>
  <c r="AP15" i="24"/>
  <c r="AR15" i="24"/>
  <c r="AT15" i="24"/>
  <c r="AB16" i="24"/>
  <c r="AD16" i="24"/>
  <c r="AF16" i="24"/>
  <c r="AH16" i="24"/>
  <c r="AJ16" i="24"/>
  <c r="AL16" i="24"/>
  <c r="AN16" i="24"/>
  <c r="AP16" i="24"/>
  <c r="AR16" i="24"/>
  <c r="AT16" i="24"/>
  <c r="AB17" i="24"/>
  <c r="AD17" i="24"/>
  <c r="AF17" i="24"/>
  <c r="AH17" i="24"/>
  <c r="AJ17" i="24"/>
  <c r="AL17" i="24"/>
  <c r="AN17" i="24"/>
  <c r="AP17" i="24"/>
  <c r="AR17" i="24"/>
  <c r="AT17" i="24"/>
  <c r="AB18" i="24"/>
  <c r="AD18" i="24"/>
  <c r="AF18" i="24"/>
  <c r="AH18" i="24"/>
  <c r="AJ18" i="24"/>
  <c r="AL18" i="24"/>
  <c r="AN18" i="24"/>
  <c r="AP18" i="24"/>
  <c r="AR18" i="24"/>
  <c r="AT18" i="24"/>
  <c r="AB19" i="24"/>
  <c r="AD19" i="24"/>
  <c r="AF19" i="24"/>
  <c r="AH19" i="24"/>
  <c r="AJ19" i="24"/>
  <c r="AL19" i="24"/>
  <c r="AN19" i="24"/>
  <c r="AP19" i="24"/>
  <c r="AR19" i="24"/>
  <c r="AT19" i="24"/>
  <c r="AB20" i="24"/>
  <c r="AD20" i="24"/>
  <c r="AF20" i="24"/>
  <c r="AH20" i="24"/>
  <c r="AJ20" i="24"/>
  <c r="AL20" i="24"/>
  <c r="AN20" i="24"/>
  <c r="AP20" i="24"/>
  <c r="AR20" i="24"/>
  <c r="AT20" i="24"/>
  <c r="AB21" i="24"/>
  <c r="AD21" i="24"/>
  <c r="AF21" i="24"/>
  <c r="AH21" i="24"/>
  <c r="AJ21" i="24"/>
  <c r="AL21" i="24"/>
  <c r="AN21" i="24"/>
  <c r="AP21" i="24"/>
  <c r="AR21" i="24"/>
  <c r="AT21" i="24"/>
  <c r="AB22" i="24"/>
  <c r="AD22" i="24"/>
  <c r="AF22" i="24"/>
  <c r="AH22" i="24"/>
  <c r="AJ22" i="24"/>
  <c r="AL22" i="24"/>
  <c r="AN22" i="24"/>
  <c r="AP22" i="24"/>
  <c r="AR22" i="24"/>
  <c r="AT22" i="24"/>
  <c r="AB23" i="24"/>
  <c r="AD23" i="24"/>
  <c r="AF23" i="24"/>
  <c r="AH23" i="24"/>
  <c r="AJ23" i="24"/>
  <c r="AL23" i="24"/>
  <c r="AN23" i="24"/>
  <c r="AP23" i="24"/>
  <c r="AR23" i="24"/>
  <c r="AT23" i="24"/>
  <c r="AB24" i="24"/>
  <c r="AD24" i="24"/>
  <c r="AF24" i="24"/>
  <c r="AH24" i="24"/>
  <c r="AJ24" i="24"/>
  <c r="AL24" i="24"/>
  <c r="AN24" i="24"/>
  <c r="AP24" i="24"/>
  <c r="AR24" i="24"/>
  <c r="AT24" i="24"/>
  <c r="AB25" i="24"/>
  <c r="AD25" i="24"/>
  <c r="AF25" i="24"/>
  <c r="AH25" i="24"/>
  <c r="AJ25" i="24"/>
  <c r="AL25" i="24"/>
  <c r="AN25" i="24"/>
  <c r="AP25" i="24"/>
  <c r="AR25" i="24"/>
  <c r="AT25" i="24"/>
  <c r="AB26" i="24"/>
  <c r="AD26" i="24"/>
  <c r="AF26" i="24"/>
  <c r="AH26" i="24"/>
  <c r="AJ26" i="24"/>
  <c r="AL26" i="24"/>
  <c r="AN26" i="24"/>
  <c r="AP26" i="24"/>
  <c r="AR26" i="24"/>
  <c r="AT26" i="24"/>
  <c r="AB27" i="24"/>
  <c r="AD27" i="24"/>
  <c r="AF27" i="24"/>
  <c r="AH27" i="24"/>
  <c r="AJ27" i="24"/>
  <c r="AL27" i="24"/>
  <c r="AN27" i="24"/>
  <c r="AP27" i="24"/>
  <c r="AR27" i="24"/>
  <c r="AT27" i="24"/>
  <c r="AC9" i="24"/>
  <c r="AE9" i="24"/>
  <c r="AG9" i="24"/>
  <c r="AI9" i="24"/>
  <c r="AK9" i="24"/>
  <c r="AM9" i="24"/>
  <c r="AO9" i="24"/>
  <c r="AQ9" i="24"/>
  <c r="AS9" i="24"/>
  <c r="AA10" i="24"/>
  <c r="AC10" i="24"/>
  <c r="AE10" i="24"/>
  <c r="AG10" i="24"/>
  <c r="AI10" i="24"/>
  <c r="AK10" i="24"/>
  <c r="AM10" i="24"/>
  <c r="AO10" i="24"/>
  <c r="AQ10" i="24"/>
  <c r="AS10" i="24"/>
  <c r="AA11" i="24"/>
  <c r="AC11" i="24"/>
  <c r="AE11" i="24"/>
  <c r="AG11" i="24"/>
  <c r="AI11" i="24"/>
  <c r="AK11" i="24"/>
  <c r="AM11" i="24"/>
  <c r="AO11" i="24"/>
  <c r="AQ11" i="24"/>
  <c r="AS11" i="24"/>
  <c r="AA12" i="24"/>
  <c r="AC12" i="24"/>
  <c r="AE12" i="24"/>
  <c r="AG12" i="24"/>
  <c r="AI12" i="24"/>
  <c r="AK12" i="24"/>
  <c r="AM12" i="24"/>
  <c r="AO12" i="24"/>
  <c r="AQ12" i="24"/>
  <c r="AS12" i="24"/>
  <c r="AA13" i="24"/>
  <c r="AC13" i="24"/>
  <c r="AE13" i="24"/>
  <c r="AG13" i="24"/>
  <c r="AI13" i="24"/>
  <c r="AK13" i="24"/>
  <c r="AM13" i="24"/>
  <c r="AO13" i="24"/>
  <c r="AQ13" i="24"/>
  <c r="AS13" i="24"/>
  <c r="AA14" i="24"/>
  <c r="AC14" i="24"/>
  <c r="AE14" i="24"/>
  <c r="AG14" i="24"/>
  <c r="AI14" i="24"/>
  <c r="AK14" i="24"/>
  <c r="AM14" i="24"/>
  <c r="AO14" i="24"/>
  <c r="AQ14" i="24"/>
  <c r="AS14" i="24"/>
  <c r="AA15" i="24"/>
  <c r="AC15" i="24"/>
  <c r="AE15" i="24"/>
  <c r="AG15" i="24"/>
  <c r="AI15" i="24"/>
  <c r="AK15" i="24"/>
  <c r="AM15" i="24"/>
  <c r="AO15" i="24"/>
  <c r="AQ15" i="24"/>
  <c r="AS15" i="24"/>
  <c r="AA16" i="24"/>
  <c r="AC16" i="24"/>
  <c r="AE16" i="24"/>
  <c r="AG16" i="24"/>
  <c r="AI16" i="24"/>
  <c r="AK16" i="24"/>
  <c r="AM16" i="24"/>
  <c r="AO16" i="24"/>
  <c r="AQ16" i="24"/>
  <c r="AS16" i="24"/>
  <c r="AA17" i="24"/>
  <c r="AC17" i="24"/>
  <c r="AE17" i="24"/>
  <c r="AG17" i="24"/>
  <c r="AI17" i="24"/>
  <c r="AK17" i="24"/>
  <c r="AM17" i="24"/>
  <c r="AO17" i="24"/>
  <c r="AQ17" i="24"/>
  <c r="AS17" i="24"/>
  <c r="AA18" i="24"/>
  <c r="AC18" i="24"/>
  <c r="AE18" i="24"/>
  <c r="AG18" i="24"/>
  <c r="AI18" i="24"/>
  <c r="AK18" i="24"/>
  <c r="AM18" i="24"/>
  <c r="AO18" i="24"/>
  <c r="AQ18" i="24"/>
  <c r="AS18" i="24"/>
  <c r="AA19" i="24"/>
  <c r="AC19" i="24"/>
  <c r="AE19" i="24"/>
  <c r="AG19" i="24"/>
  <c r="AI19" i="24"/>
  <c r="AK19" i="24"/>
  <c r="AM19" i="24"/>
  <c r="AO19" i="24"/>
  <c r="AQ19" i="24"/>
  <c r="AS19" i="24"/>
  <c r="AA20" i="24"/>
  <c r="AC20" i="24"/>
  <c r="AE20" i="24"/>
  <c r="AG20" i="24"/>
  <c r="AI20" i="24"/>
  <c r="AK20" i="24"/>
  <c r="AM20" i="24"/>
  <c r="AO20" i="24"/>
  <c r="AQ20" i="24"/>
  <c r="AS20" i="24"/>
  <c r="AA21" i="24"/>
  <c r="AC21" i="24"/>
  <c r="AE21" i="24"/>
  <c r="AG21" i="24"/>
  <c r="AI21" i="24"/>
  <c r="AK21" i="24"/>
  <c r="AM21" i="24"/>
  <c r="AO21" i="24"/>
  <c r="AQ21" i="24"/>
  <c r="AS21" i="24"/>
  <c r="AA22" i="24"/>
  <c r="AC22" i="24"/>
  <c r="AE22" i="24"/>
  <c r="AG22" i="24"/>
  <c r="AI22" i="24"/>
  <c r="AK22" i="24"/>
  <c r="AM22" i="24"/>
  <c r="AO22" i="24"/>
  <c r="AQ22" i="24"/>
  <c r="AS22" i="24"/>
  <c r="AA23" i="24"/>
  <c r="AC23" i="24"/>
  <c r="AE23" i="24"/>
  <c r="AG23" i="24"/>
  <c r="AI23" i="24"/>
  <c r="AK23" i="24"/>
  <c r="AM23" i="24"/>
  <c r="AO23" i="24"/>
  <c r="AQ23" i="24"/>
  <c r="AS23" i="24"/>
  <c r="AA24" i="24"/>
  <c r="AC24" i="24"/>
  <c r="AE24" i="24"/>
  <c r="AG24" i="24"/>
  <c r="AI24" i="24"/>
  <c r="AK24" i="24"/>
  <c r="AM24" i="24"/>
  <c r="AO24" i="24"/>
  <c r="AQ24" i="24"/>
  <c r="AS24" i="24"/>
  <c r="AA25" i="24"/>
  <c r="AC25" i="24"/>
  <c r="AE25" i="24"/>
  <c r="AG25" i="24"/>
  <c r="AI25" i="24"/>
  <c r="AK25" i="24"/>
  <c r="AM25" i="24"/>
  <c r="AO25" i="24"/>
  <c r="AQ25" i="24"/>
  <c r="AS25" i="24"/>
  <c r="AA26" i="24"/>
  <c r="AC26" i="24"/>
  <c r="AE26" i="24"/>
  <c r="AG26" i="24"/>
  <c r="AI26" i="24"/>
  <c r="AK26" i="24"/>
  <c r="AM26" i="24"/>
  <c r="AO26" i="24"/>
  <c r="AQ26" i="24"/>
  <c r="AS26" i="24"/>
  <c r="AA27" i="24"/>
  <c r="AC27" i="24"/>
  <c r="AE27" i="24"/>
  <c r="AG27" i="24"/>
  <c r="AI27" i="24"/>
  <c r="AK27" i="24"/>
  <c r="AM27" i="24"/>
  <c r="AO27" i="24"/>
  <c r="AQ27" i="24"/>
  <c r="AS27" i="24"/>
  <c r="AA28" i="24"/>
  <c r="AD14" i="21" l="1"/>
  <c r="AE14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C14" i="21"/>
  <c r="AD29" i="21"/>
  <c r="AD30" i="21"/>
  <c r="AD31" i="21"/>
  <c r="AD32" i="21"/>
  <c r="AD33" i="21"/>
  <c r="AD34" i="21"/>
  <c r="AD35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T13" i="21"/>
  <c r="P13" i="21" l="1"/>
  <c r="BO10" i="24" l="1"/>
  <c r="CJ8" i="24" l="1"/>
  <c r="BO19" i="24"/>
  <c r="BO24" i="24"/>
  <c r="BO25" i="24"/>
  <c r="BO11" i="24"/>
  <c r="BO16" i="24"/>
  <c r="BO27" i="24"/>
  <c r="BO23" i="24"/>
  <c r="BO15" i="24"/>
  <c r="BO28" i="24"/>
  <c r="CJ28" i="24" s="1"/>
  <c r="BO20" i="24"/>
  <c r="BO12" i="24"/>
  <c r="BO21" i="24"/>
  <c r="BO17" i="24"/>
  <c r="BO13" i="24"/>
  <c r="BO9" i="24"/>
  <c r="BO26" i="24"/>
  <c r="BO22" i="24"/>
  <c r="BO18" i="24"/>
  <c r="BO14" i="24"/>
  <c r="BN9" i="24"/>
  <c r="BN11" i="24"/>
  <c r="BN13" i="24"/>
  <c r="BN15" i="24"/>
  <c r="BN17" i="24"/>
  <c r="BN19" i="24"/>
  <c r="BN21" i="24"/>
  <c r="BN23" i="24"/>
  <c r="BN25" i="24"/>
  <c r="BN27" i="24"/>
  <c r="CI27" i="24" s="1"/>
  <c r="BN10" i="24"/>
  <c r="BN12" i="24"/>
  <c r="BN14" i="24"/>
  <c r="BN16" i="24"/>
  <c r="BN18" i="24"/>
  <c r="BN20" i="24"/>
  <c r="BN22" i="24"/>
  <c r="BN24" i="24"/>
  <c r="BN26" i="24"/>
  <c r="BN28" i="24"/>
  <c r="BJ9" i="24"/>
  <c r="BJ11" i="24"/>
  <c r="BJ13" i="24"/>
  <c r="BJ15" i="24"/>
  <c r="BJ17" i="24"/>
  <c r="BJ19" i="24"/>
  <c r="BJ21" i="24"/>
  <c r="BJ23" i="24"/>
  <c r="CE23" i="24" s="1"/>
  <c r="BJ25" i="24"/>
  <c r="BJ27" i="24"/>
  <c r="BJ10" i="24"/>
  <c r="BJ12" i="24"/>
  <c r="BJ14" i="24"/>
  <c r="BJ16" i="24"/>
  <c r="BJ18" i="24"/>
  <c r="BJ20" i="24"/>
  <c r="BJ22" i="24"/>
  <c r="BJ24" i="24"/>
  <c r="BJ26" i="24"/>
  <c r="BJ28" i="24"/>
  <c r="BF9" i="24"/>
  <c r="BF11" i="24"/>
  <c r="BF13" i="24"/>
  <c r="BF15" i="24"/>
  <c r="BF17" i="24"/>
  <c r="BF19" i="24"/>
  <c r="CA19" i="24" s="1"/>
  <c r="BF21" i="24"/>
  <c r="BF23" i="24"/>
  <c r="BF25" i="24"/>
  <c r="BF27" i="24"/>
  <c r="BF10" i="24"/>
  <c r="BF12" i="24"/>
  <c r="BF14" i="24"/>
  <c r="BF16" i="24"/>
  <c r="BF18" i="24"/>
  <c r="BF20" i="24"/>
  <c r="BF22" i="24"/>
  <c r="BF24" i="24"/>
  <c r="BF26" i="24"/>
  <c r="BF28" i="24"/>
  <c r="BB9" i="24"/>
  <c r="BB11" i="24"/>
  <c r="BB13" i="24"/>
  <c r="BB15" i="24"/>
  <c r="BB17" i="24"/>
  <c r="BB19" i="24"/>
  <c r="BB21" i="24"/>
  <c r="BB23" i="24"/>
  <c r="BB25" i="24"/>
  <c r="BB27" i="24"/>
  <c r="BB10" i="24"/>
  <c r="BB12" i="24"/>
  <c r="BB14" i="24"/>
  <c r="BB16" i="24"/>
  <c r="BB18" i="24"/>
  <c r="BB20" i="24"/>
  <c r="BB22" i="24"/>
  <c r="BB24" i="24"/>
  <c r="BB26" i="24"/>
  <c r="BB28" i="24"/>
  <c r="AX9" i="24"/>
  <c r="AX11" i="24"/>
  <c r="AX13" i="24"/>
  <c r="AX15" i="24"/>
  <c r="AX17" i="24"/>
  <c r="AX19" i="24"/>
  <c r="AX21" i="24"/>
  <c r="AX23" i="24"/>
  <c r="AX25" i="24"/>
  <c r="AX27" i="24"/>
  <c r="AX10" i="24"/>
  <c r="AX12" i="24"/>
  <c r="AX14" i="24"/>
  <c r="AX16" i="24"/>
  <c r="AX18" i="24"/>
  <c r="AX20" i="24"/>
  <c r="AX22" i="24"/>
  <c r="AX24" i="24"/>
  <c r="AX26" i="24"/>
  <c r="AX28" i="24"/>
  <c r="BK10" i="24"/>
  <c r="BK12" i="24"/>
  <c r="BK14" i="24"/>
  <c r="BK16" i="24"/>
  <c r="BK18" i="24"/>
  <c r="BK20" i="24"/>
  <c r="BK22" i="24"/>
  <c r="BK24" i="24"/>
  <c r="CF24" i="24" s="1"/>
  <c r="BK26" i="24"/>
  <c r="BK28" i="24"/>
  <c r="BK9" i="24"/>
  <c r="BK11" i="24"/>
  <c r="BK13" i="24"/>
  <c r="BK15" i="24"/>
  <c r="BK17" i="24"/>
  <c r="BK19" i="24"/>
  <c r="BK21" i="24"/>
  <c r="BK23" i="24"/>
  <c r="BK25" i="24"/>
  <c r="BK27" i="24"/>
  <c r="BG10" i="24"/>
  <c r="BG12" i="24"/>
  <c r="BG14" i="24"/>
  <c r="BG16" i="24"/>
  <c r="BG18" i="24"/>
  <c r="BG20" i="24"/>
  <c r="CB20" i="24" s="1"/>
  <c r="BG22" i="24"/>
  <c r="BG24" i="24"/>
  <c r="BG26" i="24"/>
  <c r="BG28" i="24"/>
  <c r="BG9" i="24"/>
  <c r="BG11" i="24"/>
  <c r="BG13" i="24"/>
  <c r="BG15" i="24"/>
  <c r="BG17" i="24"/>
  <c r="BG19" i="24"/>
  <c r="BG21" i="24"/>
  <c r="BG23" i="24"/>
  <c r="BG25" i="24"/>
  <c r="BG27" i="24"/>
  <c r="BC10" i="24"/>
  <c r="BC12" i="24"/>
  <c r="BC14" i="24"/>
  <c r="BC16" i="24"/>
  <c r="BC18" i="24"/>
  <c r="BC20" i="24"/>
  <c r="BC22" i="24"/>
  <c r="BC24" i="24"/>
  <c r="BC26" i="24"/>
  <c r="BC28" i="24"/>
  <c r="BC9" i="24"/>
  <c r="BC11" i="24"/>
  <c r="BC13" i="24"/>
  <c r="BC15" i="24"/>
  <c r="BC17" i="24"/>
  <c r="BC19" i="24"/>
  <c r="BC21" i="24"/>
  <c r="BC23" i="24"/>
  <c r="BC25" i="24"/>
  <c r="BC27" i="24"/>
  <c r="AY10" i="24"/>
  <c r="AY12" i="24"/>
  <c r="AY14" i="24"/>
  <c r="AY16" i="24"/>
  <c r="AY18" i="24"/>
  <c r="AY20" i="24"/>
  <c r="AY22" i="24"/>
  <c r="AY24" i="24"/>
  <c r="AY26" i="24"/>
  <c r="AY28" i="24"/>
  <c r="AY9" i="24"/>
  <c r="AY11" i="24"/>
  <c r="AY13" i="24"/>
  <c r="AY15" i="24"/>
  <c r="AY17" i="24"/>
  <c r="AY19" i="24"/>
  <c r="AY21" i="24"/>
  <c r="AY23" i="24"/>
  <c r="AY25" i="24"/>
  <c r="AY27" i="24"/>
  <c r="BL9" i="24"/>
  <c r="BL11" i="24"/>
  <c r="BL13" i="24"/>
  <c r="BL15" i="24"/>
  <c r="BL17" i="24"/>
  <c r="BL19" i="24"/>
  <c r="BL21" i="24"/>
  <c r="BL23" i="24"/>
  <c r="BL25" i="24"/>
  <c r="CG25" i="24" s="1"/>
  <c r="BL27" i="24"/>
  <c r="BL10" i="24"/>
  <c r="BL12" i="24"/>
  <c r="BL14" i="24"/>
  <c r="BL16" i="24"/>
  <c r="BL18" i="24"/>
  <c r="BL20" i="24"/>
  <c r="BL22" i="24"/>
  <c r="BL24" i="24"/>
  <c r="BL26" i="24"/>
  <c r="BL28" i="24"/>
  <c r="BH9" i="24"/>
  <c r="BH11" i="24"/>
  <c r="BH13" i="24"/>
  <c r="BH15" i="24"/>
  <c r="BH17" i="24"/>
  <c r="BH19" i="24"/>
  <c r="BH21" i="24"/>
  <c r="CC21" i="24" s="1"/>
  <c r="BH23" i="24"/>
  <c r="BH25" i="24"/>
  <c r="BH27" i="24"/>
  <c r="BH10" i="24"/>
  <c r="BH12" i="24"/>
  <c r="BH14" i="24"/>
  <c r="BH16" i="24"/>
  <c r="BH18" i="24"/>
  <c r="BH20" i="24"/>
  <c r="BH22" i="24"/>
  <c r="BH24" i="24"/>
  <c r="BH26" i="24"/>
  <c r="BH28" i="24"/>
  <c r="BD9" i="24"/>
  <c r="BD11" i="24"/>
  <c r="BD13" i="24"/>
  <c r="BD15" i="24"/>
  <c r="BD17" i="24"/>
  <c r="BD19" i="24"/>
  <c r="BD21" i="24"/>
  <c r="BD23" i="24"/>
  <c r="BD25" i="24"/>
  <c r="BD27" i="24"/>
  <c r="BD10" i="24"/>
  <c r="BD12" i="24"/>
  <c r="BD14" i="24"/>
  <c r="BD16" i="24"/>
  <c r="BD18" i="24"/>
  <c r="BD20" i="24"/>
  <c r="BD22" i="24"/>
  <c r="BD24" i="24"/>
  <c r="BD26" i="24"/>
  <c r="BD28" i="24"/>
  <c r="AZ9" i="24"/>
  <c r="AZ11" i="24"/>
  <c r="AZ13" i="24"/>
  <c r="AZ15" i="24"/>
  <c r="AZ17" i="24"/>
  <c r="AZ19" i="24"/>
  <c r="AZ21" i="24"/>
  <c r="AZ23" i="24"/>
  <c r="AZ25" i="24"/>
  <c r="AZ27" i="24"/>
  <c r="AZ10" i="24"/>
  <c r="AZ12" i="24"/>
  <c r="AZ14" i="24"/>
  <c r="AZ16" i="24"/>
  <c r="AZ18" i="24"/>
  <c r="AZ20" i="24"/>
  <c r="AZ22" i="24"/>
  <c r="AZ24" i="24"/>
  <c r="AZ26" i="24"/>
  <c r="AZ28" i="24"/>
  <c r="BM10" i="24"/>
  <c r="BM12" i="24"/>
  <c r="BM14" i="24"/>
  <c r="BM16" i="24"/>
  <c r="BM18" i="24"/>
  <c r="BM20" i="24"/>
  <c r="BM22" i="24"/>
  <c r="BM24" i="24"/>
  <c r="BM26" i="24"/>
  <c r="CH26" i="24" s="1"/>
  <c r="BM28" i="24"/>
  <c r="BM9" i="24"/>
  <c r="BM11" i="24"/>
  <c r="BM13" i="24"/>
  <c r="BM15" i="24"/>
  <c r="BM17" i="24"/>
  <c r="BM19" i="24"/>
  <c r="BM21" i="24"/>
  <c r="BM23" i="24"/>
  <c r="BM25" i="24"/>
  <c r="BM27" i="24"/>
  <c r="BI10" i="24"/>
  <c r="BI12" i="24"/>
  <c r="BI14" i="24"/>
  <c r="BI16" i="24"/>
  <c r="BI18" i="24"/>
  <c r="BI20" i="24"/>
  <c r="BI22" i="24"/>
  <c r="CD22" i="24" s="1"/>
  <c r="BI24" i="24"/>
  <c r="BI26" i="24"/>
  <c r="BI28" i="24"/>
  <c r="BI9" i="24"/>
  <c r="BI11" i="24"/>
  <c r="BI13" i="24"/>
  <c r="BI15" i="24"/>
  <c r="BI17" i="24"/>
  <c r="BI19" i="24"/>
  <c r="BI21" i="24"/>
  <c r="BI23" i="24"/>
  <c r="BI25" i="24"/>
  <c r="BI27" i="24"/>
  <c r="BE10" i="24"/>
  <c r="BE12" i="24"/>
  <c r="BE14" i="24"/>
  <c r="BE16" i="24"/>
  <c r="BE18" i="24"/>
  <c r="BE20" i="24"/>
  <c r="BE22" i="24"/>
  <c r="BE24" i="24"/>
  <c r="BE26" i="24"/>
  <c r="BE28" i="24"/>
  <c r="BE9" i="24"/>
  <c r="BE11" i="24"/>
  <c r="BE13" i="24"/>
  <c r="BE15" i="24"/>
  <c r="BE17" i="24"/>
  <c r="BE19" i="24"/>
  <c r="BE21" i="24"/>
  <c r="BE23" i="24"/>
  <c r="BE25" i="24"/>
  <c r="BE27" i="24"/>
  <c r="BA10" i="24"/>
  <c r="BA12" i="24"/>
  <c r="BA14" i="24"/>
  <c r="BA16" i="24"/>
  <c r="BA18" i="24"/>
  <c r="BA20" i="24"/>
  <c r="BA22" i="24"/>
  <c r="BA24" i="24"/>
  <c r="BA26" i="24"/>
  <c r="BA28" i="24"/>
  <c r="BA9" i="24"/>
  <c r="BA11" i="24"/>
  <c r="BA13" i="24"/>
  <c r="BA15" i="24"/>
  <c r="BA17" i="24"/>
  <c r="BA19" i="24"/>
  <c r="BA21" i="24"/>
  <c r="BA23" i="24"/>
  <c r="BA25" i="24"/>
  <c r="BA27" i="24"/>
  <c r="AW10" i="24"/>
  <c r="AW12" i="24"/>
  <c r="AW14" i="24"/>
  <c r="AW16" i="24"/>
  <c r="AW18" i="24"/>
  <c r="AW20" i="24"/>
  <c r="AW22" i="24"/>
  <c r="AW24" i="24"/>
  <c r="AW26" i="24"/>
  <c r="AW28" i="24"/>
  <c r="AW9" i="24"/>
  <c r="AW11" i="24"/>
  <c r="AW13" i="24"/>
  <c r="AW15" i="24"/>
  <c r="AW17" i="24"/>
  <c r="AW19" i="24"/>
  <c r="AW21" i="24"/>
  <c r="AW23" i="24"/>
  <c r="AW25" i="24"/>
  <c r="AW27" i="24"/>
  <c r="AV9" i="24"/>
  <c r="AV11" i="24"/>
  <c r="AV13" i="24"/>
  <c r="AV15" i="24"/>
  <c r="AV17" i="24"/>
  <c r="AV19" i="24"/>
  <c r="AV21" i="24"/>
  <c r="AV23" i="24"/>
  <c r="AV25" i="24"/>
  <c r="AV27" i="24"/>
  <c r="AV10" i="24"/>
  <c r="AV12" i="24"/>
  <c r="AV14" i="24"/>
  <c r="AV16" i="24"/>
  <c r="AV18" i="24"/>
  <c r="AV20" i="24"/>
  <c r="AV22" i="24"/>
  <c r="AV24" i="24"/>
  <c r="AV26" i="24"/>
  <c r="AV28" i="24"/>
  <c r="CG8" i="24"/>
  <c r="CC8" i="24"/>
  <c r="BY8" i="24"/>
  <c r="BU8" i="24"/>
  <c r="CH8" i="24"/>
  <c r="CD8" i="24"/>
  <c r="BZ8" i="24"/>
  <c r="BV8" i="24"/>
  <c r="BR8" i="24"/>
  <c r="CI8" i="24"/>
  <c r="CE8" i="24"/>
  <c r="CA8" i="24"/>
  <c r="BW8" i="24"/>
  <c r="BS8" i="24"/>
  <c r="CF8" i="24"/>
  <c r="CB8" i="24"/>
  <c r="BX8" i="24"/>
  <c r="BT8" i="24"/>
  <c r="BQ8" i="24"/>
  <c r="BQ9" i="24" l="1"/>
  <c r="BT12" i="24"/>
  <c r="BX16" i="24"/>
  <c r="BS11" i="24"/>
  <c r="BW15" i="24"/>
  <c r="BR10" i="24"/>
  <c r="BV14" i="24"/>
  <c r="BZ18" i="24"/>
  <c r="BU13" i="24"/>
  <c r="BY17" i="24"/>
  <c r="BQ25" i="24" l="1"/>
  <c r="BZ25" i="24"/>
  <c r="CG19" i="24"/>
  <c r="BZ23" i="24"/>
  <c r="BZ26" i="24"/>
  <c r="BT20" i="24"/>
  <c r="BY24" i="24"/>
  <c r="BU24" i="24"/>
  <c r="BZ24" i="24"/>
  <c r="BZ20" i="24"/>
  <c r="BZ19" i="24"/>
  <c r="BZ10" i="24"/>
  <c r="BS18" i="24"/>
  <c r="CD25" i="24"/>
  <c r="BY25" i="24"/>
  <c r="CE21" i="24"/>
  <c r="CI24" i="24"/>
  <c r="CI20" i="24"/>
  <c r="CI19" i="24"/>
  <c r="CF20" i="24"/>
  <c r="CD19" i="24"/>
  <c r="CA20" i="24"/>
  <c r="BX24" i="24"/>
  <c r="CF27" i="24"/>
  <c r="BZ22" i="24"/>
  <c r="BY28" i="24"/>
  <c r="BR28" i="24"/>
  <c r="CC27" i="24"/>
  <c r="BZ21" i="24"/>
  <c r="BZ14" i="24"/>
  <c r="BS27" i="24"/>
  <c r="BZ16" i="24"/>
  <c r="BT28" i="24"/>
  <c r="BX23" i="24"/>
  <c r="CA23" i="24"/>
  <c r="BS23" i="24"/>
  <c r="BZ13" i="24"/>
  <c r="BZ27" i="24"/>
  <c r="BZ28" i="24"/>
  <c r="BQ15" i="24"/>
  <c r="CD14" i="24"/>
  <c r="BU27" i="24"/>
  <c r="CC26" i="24"/>
  <c r="BS14" i="24"/>
  <c r="BY13" i="24"/>
  <c r="BZ9" i="24"/>
  <c r="BZ15" i="24"/>
  <c r="BZ12" i="24"/>
  <c r="BZ11" i="24"/>
  <c r="CI22" i="24"/>
  <c r="CE18" i="24"/>
  <c r="CE19" i="24"/>
  <c r="BW28" i="24"/>
  <c r="BR24" i="24"/>
  <c r="CH18" i="24"/>
  <c r="CG23" i="24"/>
  <c r="CD23" i="24"/>
  <c r="CH27" i="24"/>
  <c r="CD26" i="24"/>
  <c r="CE25" i="24"/>
  <c r="BU21" i="24"/>
  <c r="BQ27" i="24"/>
  <c r="CG24" i="24"/>
  <c r="CJ22" i="24"/>
  <c r="CJ23" i="24"/>
  <c r="CA21" i="24"/>
  <c r="BX25" i="24"/>
  <c r="CA25" i="24"/>
  <c r="BW25" i="24"/>
  <c r="BW21" i="24"/>
  <c r="CC20" i="24"/>
  <c r="CI28" i="24"/>
  <c r="BX28" i="24"/>
  <c r="CB23" i="24"/>
  <c r="BT23" i="24"/>
  <c r="BW23" i="24"/>
  <c r="BT27" i="24"/>
  <c r="CG28" i="24"/>
  <c r="BQ28" i="24"/>
  <c r="CJ18" i="24"/>
  <c r="BU18" i="24"/>
  <c r="BV23" i="24"/>
  <c r="CC23" i="24"/>
  <c r="BQ23" i="24"/>
  <c r="BR27" i="24"/>
  <c r="BY27" i="24"/>
  <c r="CC22" i="24"/>
  <c r="BU22" i="24"/>
  <c r="BY21" i="24"/>
  <c r="BQ19" i="24"/>
  <c r="BV26" i="24"/>
  <c r="BT22" i="24"/>
  <c r="CF25" i="24"/>
  <c r="BS25" i="24"/>
  <c r="CE26" i="24"/>
  <c r="BU19" i="24"/>
  <c r="BS20" i="24"/>
  <c r="BW24" i="24"/>
  <c r="BX21" i="24"/>
  <c r="CB24" i="24"/>
  <c r="CA28" i="24"/>
  <c r="BT18" i="24"/>
  <c r="BV22" i="24"/>
  <c r="CG26" i="24"/>
  <c r="BY26" i="24"/>
  <c r="BQ26" i="24"/>
  <c r="BX18" i="24"/>
  <c r="BR26" i="24"/>
  <c r="BQ21" i="24"/>
  <c r="BQ24" i="24"/>
  <c r="BV19" i="24"/>
  <c r="BW20" i="24"/>
  <c r="CA24" i="24"/>
  <c r="BT24" i="24"/>
  <c r="CB28" i="24"/>
  <c r="CB27" i="24"/>
  <c r="CE12" i="24"/>
  <c r="BQ22" i="24"/>
  <c r="BV25" i="24"/>
  <c r="CG20" i="24"/>
  <c r="CJ26" i="24"/>
  <c r="CH24" i="24"/>
  <c r="CJ27" i="24"/>
  <c r="BR23" i="24"/>
  <c r="BY19" i="24"/>
  <c r="BW27" i="24"/>
  <c r="CB22" i="24"/>
  <c r="BT26" i="24"/>
  <c r="BV20" i="24"/>
  <c r="CD28" i="24"/>
  <c r="BQ18" i="24"/>
  <c r="CB21" i="24"/>
  <c r="BQ20" i="24"/>
  <c r="CG18" i="24"/>
  <c r="CE27" i="24"/>
  <c r="BR18" i="24"/>
  <c r="CD24" i="24"/>
  <c r="CA22" i="24"/>
  <c r="BX22" i="24"/>
  <c r="CB26" i="24"/>
  <c r="BT21" i="24"/>
  <c r="CJ24" i="24"/>
  <c r="CE20" i="24"/>
  <c r="BR22" i="24"/>
  <c r="CD11" i="24"/>
  <c r="BU14" i="24"/>
  <c r="CB25" i="24"/>
  <c r="CJ25" i="24"/>
  <c r="CJ20" i="24"/>
  <c r="CH25" i="24"/>
  <c r="BX19" i="24"/>
  <c r="BR25" i="24"/>
  <c r="CD20" i="24"/>
  <c r="CB19" i="24"/>
  <c r="BU20" i="24"/>
  <c r="CC25" i="24"/>
  <c r="CH21" i="24"/>
  <c r="CF11" i="24"/>
  <c r="CI25" i="24"/>
  <c r="CH22" i="24"/>
  <c r="CA18" i="24"/>
  <c r="BX27" i="24"/>
  <c r="BU28" i="24"/>
  <c r="CJ19" i="24"/>
  <c r="BV27" i="24"/>
  <c r="CF23" i="24"/>
  <c r="CC28" i="24"/>
  <c r="BV28" i="24"/>
  <c r="CG27" i="24"/>
  <c r="BW19" i="24"/>
  <c r="BV21" i="24"/>
  <c r="CD21" i="24"/>
  <c r="BZ17" i="24"/>
  <c r="CH28" i="24"/>
  <c r="CJ16" i="24"/>
  <c r="CG10" i="24"/>
  <c r="CC12" i="24"/>
  <c r="CA12" i="24"/>
  <c r="BU12" i="24"/>
  <c r="CA10" i="24"/>
  <c r="CG12" i="24"/>
  <c r="CB12" i="24"/>
  <c r="CE15" i="24"/>
  <c r="CC10" i="24"/>
  <c r="CH11" i="24"/>
  <c r="CA16" i="24"/>
  <c r="CA15" i="24"/>
  <c r="CI10" i="24"/>
  <c r="BT15" i="24"/>
  <c r="CD12" i="24"/>
  <c r="CD9" i="24"/>
  <c r="CE14" i="24"/>
  <c r="CI17" i="24"/>
  <c r="BW17" i="24"/>
  <c r="BY10" i="24"/>
  <c r="CI14" i="24"/>
  <c r="CI12" i="24"/>
  <c r="BS10" i="24"/>
  <c r="CG11" i="24"/>
  <c r="BX11" i="24"/>
  <c r="CG17" i="24"/>
  <c r="CJ11" i="24"/>
  <c r="CB16" i="24"/>
  <c r="CJ17" i="24"/>
  <c r="CB13" i="24"/>
  <c r="CG9" i="24"/>
  <c r="CI15" i="24"/>
  <c r="CB11" i="24"/>
  <c r="CA13" i="24"/>
  <c r="CH14" i="24"/>
  <c r="CH16" i="24"/>
  <c r="BX9" i="24"/>
  <c r="CJ10" i="24"/>
  <c r="BV17" i="24"/>
  <c r="BS16" i="24"/>
  <c r="BR15" i="24"/>
  <c r="BY16" i="24"/>
  <c r="CC13" i="24"/>
  <c r="BU11" i="24"/>
  <c r="BY11" i="24"/>
  <c r="BX12" i="24"/>
  <c r="CC14" i="24"/>
  <c r="CJ14" i="24"/>
  <c r="CJ9" i="24"/>
  <c r="BT11" i="24"/>
  <c r="BX15" i="24"/>
  <c r="CI13" i="24"/>
  <c r="CA17" i="24"/>
  <c r="CE9" i="24"/>
  <c r="CI9" i="24"/>
  <c r="CF13" i="24"/>
  <c r="BS9" i="24"/>
  <c r="BR11" i="24"/>
  <c r="CF14" i="24"/>
  <c r="CA9" i="24"/>
  <c r="CE16" i="24"/>
  <c r="BV10" i="24"/>
  <c r="CG14" i="24"/>
  <c r="BV13" i="24"/>
  <c r="BV16" i="24"/>
  <c r="BT14" i="24"/>
  <c r="BQ13" i="24"/>
  <c r="BV11" i="24"/>
  <c r="CC16" i="24"/>
  <c r="CB15" i="24"/>
  <c r="BV9" i="24"/>
  <c r="CD17" i="24"/>
  <c r="BQ16" i="24"/>
  <c r="BW14" i="24"/>
  <c r="BW10" i="24"/>
  <c r="CH15" i="24"/>
  <c r="CF15" i="24"/>
  <c r="CF10" i="24"/>
  <c r="CJ13" i="24"/>
  <c r="BQ17" i="24"/>
  <c r="CE13" i="24"/>
  <c r="CD10" i="24"/>
  <c r="CC9" i="24"/>
  <c r="BX17" i="24"/>
  <c r="BT17" i="24"/>
  <c r="CB17" i="24"/>
  <c r="CD16" i="24"/>
  <c r="CH9" i="24"/>
  <c r="CF12" i="24"/>
  <c r="BR16" i="24"/>
  <c r="CH17" i="24"/>
  <c r="BR14" i="24"/>
  <c r="CG15" i="24"/>
  <c r="BU16" i="24"/>
  <c r="BW9" i="24"/>
  <c r="CF16" i="24"/>
  <c r="BR12" i="24"/>
  <c r="BS17" i="24"/>
  <c r="BW12" i="24"/>
  <c r="CE17" i="24"/>
  <c r="BU15" i="24"/>
  <c r="BQ10" i="24"/>
  <c r="CC15" i="24"/>
  <c r="BV15" i="24"/>
  <c r="BT9" i="24"/>
  <c r="BX13" i="24"/>
  <c r="BY14" i="24"/>
  <c r="BW13" i="24"/>
  <c r="CG13" i="24"/>
  <c r="CC17" i="24"/>
  <c r="BQ11" i="24"/>
  <c r="CD15" i="24"/>
  <c r="CC24" i="24"/>
  <c r="CI21" i="24"/>
  <c r="CE10" i="24"/>
  <c r="BQ12" i="24"/>
  <c r="BW22" i="24"/>
  <c r="BR20" i="24"/>
  <c r="BS22" i="24"/>
  <c r="BX26" i="24"/>
  <c r="CB18" i="24"/>
  <c r="BU26" i="24"/>
  <c r="BR21" i="24"/>
  <c r="CG21" i="24"/>
  <c r="CC19" i="24"/>
  <c r="BS24" i="24"/>
  <c r="CH23" i="24"/>
  <c r="BY23" i="24"/>
  <c r="BU23" i="24"/>
  <c r="CH13" i="24"/>
  <c r="BY18" i="24"/>
  <c r="CI23" i="24"/>
  <c r="CI11" i="24"/>
  <c r="BW16" i="24"/>
  <c r="BQ14" i="24"/>
  <c r="CH12" i="24"/>
  <c r="BT13" i="24"/>
  <c r="BV12" i="24"/>
  <c r="BY15" i="24"/>
  <c r="BT16" i="24"/>
  <c r="BS15" i="24"/>
  <c r="CJ15" i="24"/>
  <c r="CA11" i="24"/>
  <c r="BY9" i="24"/>
  <c r="CC18" i="24"/>
  <c r="BS13" i="24"/>
  <c r="BS28" i="24"/>
  <c r="CF26" i="24"/>
  <c r="BV24" i="24"/>
  <c r="BX20" i="24"/>
  <c r="BV18" i="24"/>
  <c r="BS19" i="24"/>
  <c r="CE28" i="24"/>
  <c r="CA27" i="24"/>
  <c r="BW26" i="24"/>
  <c r="BS21" i="24"/>
  <c r="BY22" i="24"/>
  <c r="CJ12" i="24"/>
  <c r="CH10" i="24"/>
  <c r="CA26" i="24"/>
  <c r="CF19" i="24"/>
  <c r="CF21" i="24"/>
  <c r="BW18" i="24"/>
  <c r="CB14" i="24"/>
  <c r="CI26" i="24"/>
  <c r="CF18" i="24"/>
  <c r="CF22" i="24"/>
  <c r="CG22" i="24"/>
  <c r="CE22" i="24"/>
  <c r="CD18" i="24"/>
  <c r="BU25" i="24"/>
  <c r="BS26" i="24"/>
  <c r="CH19" i="24"/>
  <c r="BX14" i="24"/>
  <c r="CG16" i="24"/>
  <c r="BU9" i="24"/>
  <c r="BR13" i="24"/>
  <c r="CF9" i="24"/>
  <c r="BR17" i="24"/>
  <c r="BY12" i="24"/>
  <c r="CB9" i="24"/>
  <c r="BT10" i="24"/>
  <c r="BX10" i="24"/>
  <c r="BU17" i="24"/>
  <c r="CC11" i="24"/>
  <c r="CA14" i="24"/>
  <c r="CF17" i="24"/>
  <c r="BS12" i="24"/>
  <c r="BR9" i="24"/>
  <c r="BW11" i="24"/>
  <c r="BT19" i="24"/>
  <c r="CD27" i="24"/>
  <c r="CE24" i="24"/>
  <c r="CH20" i="24"/>
  <c r="CJ21" i="24"/>
  <c r="BR19" i="24"/>
  <c r="BT25" i="24"/>
  <c r="BY20" i="24"/>
  <c r="CF28" i="24"/>
  <c r="CI18" i="24"/>
  <c r="CI16" i="24"/>
  <c r="BU10" i="24"/>
  <c r="CE11" i="24"/>
  <c r="CB10" i="24"/>
  <c r="CD13" i="24"/>
  <c r="Q5" i="24" l="1" a="1"/>
  <c r="Q5" i="24" s="1"/>
  <c r="Q3" i="24" a="1"/>
  <c r="Q3" i="24" s="1"/>
  <c r="Q4" i="24" a="1"/>
  <c r="Q4" i="24" s="1"/>
  <c r="Q6" i="24" l="1"/>
  <c r="W38" i="21" l="1"/>
  <c r="W40" i="21"/>
  <c r="S38" i="21"/>
  <c r="S40" i="21"/>
  <c r="O38" i="21"/>
  <c r="O40" i="21"/>
  <c r="K40" i="21" a="1"/>
  <c r="K40" i="21" s="1"/>
  <c r="K38" i="21"/>
  <c r="AA40" i="21"/>
  <c r="AA38" i="21"/>
  <c r="G38" i="21"/>
  <c r="G40" i="21" a="1"/>
  <c r="G40" i="21" s="1"/>
  <c r="C38" i="21"/>
  <c r="C40" i="21"/>
  <c r="AA37" i="21"/>
  <c r="AA39" i="21"/>
  <c r="O37" i="21"/>
  <c r="O39" i="21"/>
  <c r="K37" i="21"/>
  <c r="K39" i="21"/>
  <c r="W37" i="21"/>
  <c r="W39" i="21"/>
  <c r="S37" i="21"/>
  <c r="S39" i="21"/>
  <c r="G37" i="21"/>
  <c r="G39" i="21"/>
  <c r="C37" i="21"/>
  <c r="C39" i="21"/>
  <c r="S42" i="21" l="1"/>
  <c r="G42" i="21"/>
  <c r="O42" i="21"/>
  <c r="W42" i="21"/>
  <c r="V54" i="21" s="1"/>
  <c r="V55" i="21" s="1"/>
  <c r="K42" i="21"/>
  <c r="AA42" i="21"/>
  <c r="C42" i="21"/>
  <c r="AA41" i="21"/>
  <c r="W41" i="21"/>
  <c r="W54" i="21" s="1"/>
  <c r="W55" i="21" s="1"/>
  <c r="S41" i="21"/>
  <c r="O41" i="21"/>
  <c r="O43" i="21" s="1"/>
  <c r="K41" i="21"/>
  <c r="G41" i="21"/>
  <c r="C41" i="21"/>
  <c r="S43" i="21" l="1"/>
  <c r="G44" i="21"/>
  <c r="C45" i="21"/>
  <c r="K44" i="21"/>
  <c r="O45" i="21"/>
  <c r="O44" i="21"/>
  <c r="AA45" i="21"/>
  <c r="W44" i="21"/>
  <c r="W45" i="21"/>
  <c r="W43" i="21"/>
  <c r="AA44" i="21"/>
  <c r="AA43" i="21"/>
  <c r="S44" i="21"/>
  <c r="S45" i="21"/>
  <c r="C43" i="21"/>
  <c r="G45" i="21"/>
  <c r="S3" i="24"/>
  <c r="G43" i="21"/>
  <c r="S4" i="24"/>
  <c r="K45" i="21"/>
  <c r="C44" i="21"/>
  <c r="K43" i="21"/>
  <c r="S5" i="24" l="1"/>
  <c r="U9" i="24" s="1"/>
  <c r="V9" i="24" s="1"/>
  <c r="S6" i="24" l="1"/>
  <c r="U10" i="24" s="1"/>
  <c r="V10" i="24" s="1"/>
  <c r="U11" i="24" l="1"/>
  <c r="U12" i="24" s="1"/>
  <c r="V11" i="24" l="1"/>
  <c r="V12" i="24"/>
  <c r="U13" i="24"/>
  <c r="U14" i="24" l="1"/>
  <c r="V13" i="24"/>
  <c r="U15" i="24" l="1"/>
  <c r="V14" i="24"/>
  <c r="V15" i="24" l="1"/>
  <c r="U16" i="24"/>
  <c r="U17" i="24" l="1"/>
  <c r="V16" i="24"/>
  <c r="U18" i="24" l="1"/>
  <c r="V17" i="24"/>
  <c r="U19" i="24" l="1"/>
  <c r="V18" i="24"/>
  <c r="U20" i="24" l="1"/>
  <c r="V19" i="24"/>
  <c r="U21" i="24" l="1"/>
  <c r="V20" i="24"/>
  <c r="U22" i="24" l="1"/>
  <c r="V21" i="24"/>
  <c r="U23" i="24" l="1"/>
  <c r="V22" i="24"/>
  <c r="V23" i="24" l="1"/>
  <c r="U24" i="24"/>
  <c r="U25" i="24" l="1"/>
  <c r="V24" i="24"/>
  <c r="U26" i="24" l="1"/>
  <c r="V25" i="24"/>
  <c r="V26" i="24" l="1"/>
  <c r="U27" i="24"/>
  <c r="U28" i="24" l="1"/>
  <c r="V28" i="24" s="1"/>
  <c r="V27" i="24"/>
</calcChain>
</file>

<file path=xl/sharedStrings.xml><?xml version="1.0" encoding="utf-8"?>
<sst xmlns="http://schemas.openxmlformats.org/spreadsheetml/2006/main" count="205" uniqueCount="114">
  <si>
    <t>Ravi Shukla</t>
  </si>
  <si>
    <t>Std Dev</t>
  </si>
  <si>
    <t>Correlation</t>
  </si>
  <si>
    <t>Exp Ret</t>
  </si>
  <si>
    <t>Weights</t>
  </si>
  <si>
    <t>Min</t>
  </si>
  <si>
    <t>Max</t>
  </si>
  <si>
    <t>Stock</t>
  </si>
  <si>
    <t>Weight Limits</t>
  </si>
  <si>
    <t>Covar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</si>
  <si>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</si>
  <si>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j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</si>
  <si>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</si>
  <si>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Please enter data only in cells shaded as:</t>
  </si>
  <si>
    <t>This worksheet is not protected and may be rendered useless if not used properly.</t>
  </si>
  <si>
    <t>A</t>
  </si>
  <si>
    <t>where you got this one.</t>
  </si>
  <si>
    <t>The following models are programmed into this spreadsheet:</t>
  </si>
  <si>
    <t>Maximize expected utility given risk aversion parameter. Utility function is</t>
  </si>
  <si>
    <r>
      <t>assumed to be E(U) = E(r) - 0.5A</t>
    </r>
    <r>
      <rPr>
        <sz val="11"/>
        <rFont val="Symbol"/>
        <family val="1"/>
        <charset val="2"/>
      </rPr>
      <t>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</t>
    </r>
  </si>
  <si>
    <t>the expected portfolio return must be within a range.</t>
  </si>
  <si>
    <t>Maximize expected portfolio return subject to the requirement that the standard</t>
  </si>
  <si>
    <t>deviation of returns must be within a range.</t>
  </si>
  <si>
    <t>For reasons I don't understand (I hope Microsoft engineers do), if I protect the model</t>
  </si>
  <si>
    <t>worksheet, the models give nonsensical results. So, the model workbook is unprotected and</t>
  </si>
  <si>
    <t>fragile. So, use it carefully. If you destroy the worksheet, download the original version</t>
  </si>
  <si>
    <t>B</t>
  </si>
  <si>
    <t>C</t>
  </si>
  <si>
    <t>D</t>
  </si>
  <si>
    <t>Frontier</t>
  </si>
  <si>
    <t>E(r)</t>
  </si>
  <si>
    <t>s</t>
  </si>
  <si>
    <t xml:space="preserve">* </t>
  </si>
  <si>
    <t xml:space="preserve">Maximize the slope of the capital allocation line (CAL) </t>
  </si>
  <si>
    <t>Do not edit this area unless you know what you are doing.</t>
  </si>
  <si>
    <t>Ell</t>
  </si>
  <si>
    <t>N Stocks</t>
  </si>
  <si>
    <t>Min Wt</t>
  </si>
  <si>
    <t>Max Wt</t>
  </si>
  <si>
    <t>Unconstrained Global Minimum variance portfolio.</t>
  </si>
  <si>
    <t>*</t>
  </si>
  <si>
    <t>Constrained Global Minimum variance portfolio.</t>
  </si>
  <si>
    <t>The unconstrained mean-variance frontier and the various optimal portfolios are shown in</t>
  </si>
  <si>
    <t>the chart on sheet named "Frontier." Reviewing this sheet will also be helpful in</t>
  </si>
  <si>
    <t>understanding the statistical properties of the portfolios.</t>
  </si>
  <si>
    <t>If the models fail to find a solution or give nonsensical answers, check your inputs and</t>
  </si>
  <si>
    <t>constraints. The best strategy would be start with a very wide range for the constraints and</t>
  </si>
  <si>
    <t>narrow them gradually as you understand the statistical properties of the</t>
  </si>
  <si>
    <t>The model is designed to work with 3-20 stocks in the portfolio. You can change the number</t>
  </si>
  <si>
    <t>of stocks in the portfolio by entering the number in cell B2 in sheet Data. The data entry will</t>
  </si>
  <si>
    <t>shrink or expand based on your input. Due to a glitch in Excel, if you increase the number of</t>
  </si>
  <si>
    <t>stocks in the Data sheet, the numbers for some securities (expected returns, standard</t>
  </si>
  <si>
    <t>deviations, correlations, etc.) may not be visible. Just redraw the sheet by pressing page</t>
  </si>
  <si>
    <t xml:space="preserve">down and the page up, </t>
  </si>
  <si>
    <t>If the frontier chart looks strange it's because the optimizer hasn't been run after the inputs</t>
  </si>
  <si>
    <t>were changed. Run the optimizer by clicking on the button on the Model sheet, and you</t>
  </si>
  <si>
    <t>should get a reasonable looking chart.</t>
  </si>
  <si>
    <t>optimal portfolios may be within the unconstrained frontier and the constrained tangency</t>
  </si>
  <si>
    <t>line may pierce the unconstrained frontier.</t>
  </si>
  <si>
    <t>Sharpe Optimal Portfolio Selection</t>
  </si>
  <si>
    <r>
      <t>E(r</t>
    </r>
    <r>
      <rPr>
        <b/>
        <vertAlign val="sub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</si>
  <si>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M</t>
    </r>
  </si>
  <si>
    <t>a</t>
  </si>
  <si>
    <t>b</t>
  </si>
  <si>
    <r>
      <t>s</t>
    </r>
    <r>
      <rPr>
        <b/>
        <sz val="11"/>
        <color theme="1"/>
        <rFont val="Symbol"/>
        <family val="1"/>
        <charset val="2"/>
      </rPr>
      <t>(</t>
    </r>
    <r>
      <rPr>
        <b/>
        <i/>
        <sz val="11"/>
        <color theme="1"/>
        <rFont val="Calibri"/>
        <family val="2"/>
      </rPr>
      <t>e</t>
    </r>
    <r>
      <rPr>
        <b/>
        <sz val="11"/>
        <color theme="1"/>
        <rFont val="Calibri"/>
        <family val="2"/>
      </rPr>
      <t>)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</si>
  <si>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</si>
  <si>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</si>
  <si>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e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</si>
  <si>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i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(</t>
    </r>
    <r>
      <rPr>
        <i/>
        <sz val="11"/>
        <color theme="1"/>
        <rFont val="Calibri"/>
        <family val="2"/>
        <scheme val="minor"/>
      </rPr>
      <t>R</t>
    </r>
    <r>
      <rPr>
        <i/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</si>
  <si>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p</t>
    </r>
  </si>
  <si>
    <t>E(U)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</si>
  <si>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</rPr>
      <t>w</t>
    </r>
    <r>
      <rPr>
        <vertAlign val="subscript"/>
        <sz val="11"/>
        <color theme="1"/>
        <rFont val="Calibri"/>
        <family val="2"/>
      </rPr>
      <t>i</t>
    </r>
  </si>
  <si>
    <t>S</t>
  </si>
  <si>
    <t>Prob (r&lt;0)</t>
  </si>
  <si>
    <t>Beta</t>
  </si>
  <si>
    <t>This spreadsheet calculates optimal portfolio weights using various objectives in Sharpe's</t>
  </si>
  <si>
    <t>single index model framework. It utilizes alphas, betas, and unique standard deviations of</t>
  </si>
  <si>
    <t>returns as inputs. Risk-free rate, Expected market return, standard deviation of market</t>
  </si>
  <si>
    <t>return and the risk aversion parameter are also used as inputs in some models. The user can</t>
  </si>
  <si>
    <t>restrict the weights to within a certain range.</t>
  </si>
  <si>
    <t>the portfolio beta must be within a range.</t>
  </si>
  <si>
    <t>Keep in mind that the frontier plotted in the chart is unconstrained frontier. Constrained</t>
  </si>
  <si>
    <t>Minimize standard deviation of portfolio returns subject to the requirement that</t>
  </si>
  <si>
    <t>Ticker</t>
  </si>
  <si>
    <t>Stock#</t>
  </si>
  <si>
    <t>TKR1</t>
  </si>
  <si>
    <t>TKR2</t>
  </si>
  <si>
    <t>TKR3</t>
  </si>
  <si>
    <t>TKR4</t>
  </si>
  <si>
    <t>TKR5</t>
  </si>
  <si>
    <t>TKR6</t>
  </si>
  <si>
    <t>TKR7</t>
  </si>
  <si>
    <t>TKR8</t>
  </si>
  <si>
    <t>TKR9</t>
  </si>
  <si>
    <t>TKR10</t>
  </si>
  <si>
    <t>TKR11</t>
  </si>
  <si>
    <t>TKR12</t>
  </si>
  <si>
    <t>TKR13</t>
  </si>
  <si>
    <t>TKR14</t>
  </si>
  <si>
    <t>TKR15</t>
  </si>
  <si>
    <t>TKR16</t>
  </si>
  <si>
    <t>TKR17</t>
  </si>
  <si>
    <t>TKR18</t>
  </si>
  <si>
    <t>TKR19</t>
  </si>
  <si>
    <t>TKR20</t>
  </si>
  <si>
    <t>Case 0: Unconstrained Global Minimum Variance</t>
  </si>
  <si>
    <t>Case 0A: Constrained Global Minimum Variance</t>
  </si>
  <si>
    <t>Case 1: Maximize Utility</t>
  </si>
  <si>
    <t>Case 2: Minimize Standard Deviation</t>
  </si>
  <si>
    <t>Case 3: Maximize Expected Return</t>
  </si>
  <si>
    <t>Case 4: Maximize Slope of the CAL</t>
  </si>
  <si>
    <t>Case 5: Minimize Standard Deviation</t>
  </si>
  <si>
    <t>Tangency Line</t>
  </si>
  <si>
    <t>Last modified: 11/17/2009, 8:51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</si>
</sst>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##.\ 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vertAlign val="superscript"/>
      <sz val="11"/>
      <name val="Calibri"/>
      <family val="2"/>
      <scheme val="minor"/>
    </font>
    <font>
      <sz val="11"/>
      <name val="Symbol"/>
      <family val="1"/>
      <charset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Symbol"/>
      <family val="1"/>
      <charset val="2"/>
    </font>
    <font>
      <sz val="10"/>
      <name val="Arial"/>
      <family val="2"/>
    </font>
    <font>
      <b/>
      <sz val="11"/>
      <color theme="1"/>
      <name val="Symbol"/>
      <family val="1"/>
      <charset val="2"/>
    </font>
    <font>
      <b/>
      <i/>
      <sz val="11"/>
      <color theme="1"/>
      <name val="Symbol"/>
      <family val="1"/>
      <charset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3" fillId="2" borderId="2" applyNumberFormat="0" applyAlignment="0" applyProtection="0"/>
    <xf numFmtId="0" fontId="12" fillId="0" borderId="0"/>
    <xf numFmtId="9" fontId="12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31" fillId="5" borderId="8" applyNumberFormat="0" applyFont="0" applyAlignment="0" applyProtection="0"/>
  </cellStyleXfs>
  <cellXfs count="98">
    <xf numFmtId="0" fontId="0" fillId="0" borderId="0" xfId="0"/>
    <xf numFmtId="0" fontId="17" fillId="0" borderId="0" xfId="0" applyFont="1"/>
    <xf numFmtId="0" fontId="11" fillId="0" borderId="0" xfId="2" applyFont="1"/>
    <xf numFmtId="10" fontId="17" fillId="0" borderId="1" xfId="3" applyNumberFormat="1" applyFont="1" applyBorder="1" applyProtection="1">
      <protection locked="0"/>
    </xf>
    <xf numFmtId="0" fontId="11" fillId="0" borderId="0" xfId="2" applyFont="1" applyProtection="1"/>
    <xf numFmtId="0" fontId="14" fillId="0" borderId="1" xfId="2" applyFont="1" applyBorder="1" applyProtection="1"/>
    <xf numFmtId="0" fontId="14" fillId="3" borderId="1" xfId="2" applyFont="1" applyFill="1" applyBorder="1" applyAlignment="1" applyProtection="1">
      <alignment horizontal="right"/>
    </xf>
    <xf numFmtId="0" fontId="11" fillId="0" borderId="1" xfId="2" applyFont="1" applyBorder="1" applyAlignment="1" applyProtection="1">
      <alignment horizontal="center"/>
    </xf>
    <xf numFmtId="164" fontId="11" fillId="0" borderId="1" xfId="2" applyNumberFormat="1" applyFont="1" applyBorder="1" applyProtection="1"/>
    <xf numFmtId="10" fontId="17" fillId="0" borderId="1" xfId="3" applyNumberFormat="1" applyFont="1" applyBorder="1" applyProtection="1"/>
    <xf numFmtId="10" fontId="11" fillId="0" borderId="1" xfId="2" applyNumberFormat="1" applyFont="1" applyBorder="1" applyProtection="1"/>
    <xf numFmtId="0" fontId="11" fillId="0" borderId="1" xfId="2" applyFont="1" applyBorder="1" applyAlignment="1" applyProtection="1">
      <alignment horizontal="center"/>
    </xf>
    <xf numFmtId="0" fontId="23" fillId="0" borderId="0" xfId="2" applyFont="1" applyBorder="1" applyAlignment="1"/>
    <xf numFmtId="0" fontId="9" fillId="0" borderId="0" xfId="2" applyFont="1" applyBorder="1" applyProtection="1"/>
    <xf numFmtId="0" fontId="24" fillId="0" borderId="0" xfId="0" applyFont="1" applyBorder="1" applyAlignment="1">
      <alignment horizontal="center" vertical="center" wrapText="1"/>
    </xf>
    <xf numFmtId="0" fontId="13" fillId="2" borderId="1" xfId="1" applyBorder="1"/>
    <xf numFmtId="0" fontId="11" fillId="0" borderId="0" xfId="2" applyFont="1" applyBorder="1" applyProtection="1"/>
    <xf numFmtId="0" fontId="9" fillId="0" borderId="1" xfId="2" applyFont="1" applyBorder="1" applyAlignment="1" applyProtection="1">
      <alignment horizontal="right"/>
    </xf>
    <xf numFmtId="10" fontId="11" fillId="0" borderId="1" xfId="4" applyNumberFormat="1" applyFont="1" applyBorder="1" applyProtection="1"/>
    <xf numFmtId="166" fontId="17" fillId="0" borderId="0" xfId="0" applyNumberFormat="1" applyFont="1"/>
    <xf numFmtId="0" fontId="0" fillId="0" borderId="0" xfId="0" applyAlignment="1">
      <alignment horizontal="center"/>
    </xf>
    <xf numFmtId="0" fontId="11" fillId="0" borderId="1" xfId="2" applyFont="1" applyBorder="1" applyAlignment="1" applyProtection="1">
      <alignment horizontal="center"/>
    </xf>
    <xf numFmtId="0" fontId="22" fillId="4" borderId="6" xfId="2" applyFont="1" applyFill="1" applyBorder="1" applyAlignment="1" applyProtection="1"/>
    <xf numFmtId="0" fontId="22" fillId="4" borderId="0" xfId="2" applyFont="1" applyFill="1" applyBorder="1" applyAlignment="1" applyProtection="1"/>
    <xf numFmtId="10" fontId="23" fillId="0" borderId="1" xfId="4" applyNumberFormat="1" applyFont="1" applyBorder="1" applyAlignment="1"/>
    <xf numFmtId="0" fontId="11" fillId="5" borderId="0" xfId="5" applyFont="1" applyBorder="1" applyProtection="1"/>
    <xf numFmtId="0" fontId="8" fillId="5" borderId="1" xfId="5" applyFont="1" applyBorder="1" applyProtection="1"/>
    <xf numFmtId="0" fontId="16" fillId="5" borderId="1" xfId="5" applyFont="1" applyBorder="1" applyAlignment="1" applyProtection="1">
      <alignment horizontal="right"/>
    </xf>
    <xf numFmtId="0" fontId="30" fillId="5" borderId="1" xfId="5" applyFont="1" applyBorder="1" applyAlignment="1" applyProtection="1">
      <alignment horizontal="right"/>
    </xf>
    <xf numFmtId="9" fontId="17" fillId="5" borderId="1" xfId="5" applyNumberFormat="1" applyFont="1" applyBorder="1"/>
    <xf numFmtId="0" fontId="11" fillId="5" borderId="9" xfId="5" applyFont="1" applyBorder="1" applyProtection="1"/>
    <xf numFmtId="0" fontId="11" fillId="5" borderId="6" xfId="5" applyFont="1" applyBorder="1" applyProtection="1"/>
    <xf numFmtId="0" fontId="11" fillId="5" borderId="7" xfId="5" applyFont="1" applyBorder="1" applyProtection="1"/>
    <xf numFmtId="0" fontId="11" fillId="5" borderId="10" xfId="5" applyFont="1" applyBorder="1" applyProtection="1"/>
    <xf numFmtId="0" fontId="14" fillId="0" borderId="11" xfId="2" applyFont="1" applyBorder="1" applyProtection="1"/>
    <xf numFmtId="0" fontId="17" fillId="0" borderId="0" xfId="0" applyFont="1" applyAlignment="1">
      <alignment horizontal="right"/>
    </xf>
    <xf numFmtId="166" fontId="17" fillId="0" borderId="0" xfId="0" applyNumberFormat="1" applyFont="1" applyAlignment="1">
      <alignment horizontal="right"/>
    </xf>
    <xf numFmtId="0" fontId="11" fillId="5" borderId="1" xfId="5" applyFont="1" applyBorder="1" applyAlignment="1" applyProtection="1">
      <alignment horizontal="center"/>
    </xf>
    <xf numFmtId="10" fontId="7" fillId="5" borderId="1" xfId="5" applyNumberFormat="1" applyFont="1" applyBorder="1" applyProtection="1"/>
    <xf numFmtId="10" fontId="11" fillId="5" borderId="1" xfId="5" applyNumberFormat="1" applyFont="1" applyBorder="1" applyProtection="1"/>
    <xf numFmtId="164" fontId="11" fillId="5" borderId="1" xfId="5" applyNumberFormat="1" applyFont="1" applyBorder="1" applyProtection="1"/>
    <xf numFmtId="164" fontId="17" fillId="5" borderId="1" xfId="5" applyNumberFormat="1" applyFont="1" applyBorder="1"/>
    <xf numFmtId="0" fontId="7" fillId="5" borderId="6" xfId="5" applyFont="1" applyBorder="1" applyProtection="1"/>
    <xf numFmtId="0" fontId="14" fillId="3" borderId="1" xfId="2" applyFont="1" applyFill="1" applyBorder="1" applyAlignment="1" applyProtection="1">
      <alignment horizontal="center"/>
    </xf>
    <xf numFmtId="0" fontId="11" fillId="0" borderId="1" xfId="2" applyFont="1" applyBorder="1" applyAlignment="1" applyProtection="1">
      <alignment horizontal="center"/>
    </xf>
    <xf numFmtId="0" fontId="14" fillId="3" borderId="1" xfId="2" applyFont="1" applyFill="1" applyBorder="1" applyAlignment="1" applyProtection="1">
      <alignment horizontal="center"/>
    </xf>
    <xf numFmtId="0" fontId="11" fillId="0" borderId="1" xfId="2" applyFont="1" applyBorder="1" applyAlignment="1" applyProtection="1">
      <alignment horizontal="center"/>
    </xf>
    <xf numFmtId="0" fontId="14" fillId="5" borderId="1" xfId="5" applyFont="1" applyBorder="1" applyAlignment="1" applyProtection="1">
      <alignment horizontal="center"/>
    </xf>
    <xf numFmtId="2" fontId="11" fillId="0" borderId="0" xfId="2" applyNumberFormat="1" applyFont="1" applyProtection="1"/>
    <xf numFmtId="0" fontId="6" fillId="0" borderId="0" xfId="2" applyFont="1" applyProtection="1"/>
    <xf numFmtId="0" fontId="17" fillId="0" borderId="0" xfId="0" applyFont="1" applyBorder="1"/>
    <xf numFmtId="10" fontId="13" fillId="2" borderId="1" xfId="1" applyNumberFormat="1" applyFont="1" applyBorder="1" applyProtection="1">
      <protection locked="0"/>
    </xf>
    <xf numFmtId="0" fontId="33" fillId="3" borderId="1" xfId="2" applyFont="1" applyFill="1" applyBorder="1" applyAlignment="1">
      <alignment horizontal="right"/>
    </xf>
    <xf numFmtId="10" fontId="17" fillId="7" borderId="1" xfId="1" applyNumberFormat="1" applyFont="1" applyFill="1" applyBorder="1" applyProtection="1"/>
    <xf numFmtId="165" fontId="5" fillId="0" borderId="1" xfId="2" applyNumberFormat="1" applyFont="1" applyBorder="1" applyProtection="1"/>
    <xf numFmtId="0" fontId="5" fillId="0" borderId="0" xfId="2" applyFont="1" applyProtection="1"/>
    <xf numFmtId="0" fontId="5" fillId="0" borderId="3" xfId="2" applyFont="1" applyBorder="1" applyAlignment="1"/>
    <xf numFmtId="0" fontId="5" fillId="0" borderId="5" xfId="2" applyFont="1" applyBorder="1" applyAlignment="1"/>
    <xf numFmtId="10" fontId="5" fillId="0" borderId="1" xfId="2" applyNumberFormat="1" applyFont="1" applyBorder="1" applyProtection="1"/>
    <xf numFmtId="2" fontId="5" fillId="0" borderId="1" xfId="2" applyNumberFormat="1" applyFont="1" applyBorder="1" applyProtection="1"/>
    <xf numFmtId="0" fontId="5" fillId="0" borderId="1" xfId="2" applyFont="1" applyBorder="1" applyAlignment="1" applyProtection="1">
      <alignment horizontal="right"/>
    </xf>
    <xf numFmtId="0" fontId="5" fillId="0" borderId="1" xfId="2" applyFont="1" applyBorder="1" applyAlignment="1" applyProtection="1">
      <alignment horizontal="center"/>
    </xf>
    <xf numFmtId="10" fontId="17" fillId="2" borderId="1" xfId="1" applyNumberFormat="1" applyFont="1" applyBorder="1" applyProtection="1">
      <protection locked="0"/>
    </xf>
    <xf numFmtId="0" fontId="4" fillId="0" borderId="0" xfId="2" applyFont="1"/>
    <xf numFmtId="0" fontId="17" fillId="2" borderId="1" xfId="1" applyFont="1" applyBorder="1" applyProtection="1">
      <protection locked="0"/>
    </xf>
    <xf numFmtId="2" fontId="13" fillId="2" borderId="1" xfId="1" applyNumberFormat="1" applyBorder="1" applyAlignment="1" applyProtection="1">
      <protection locked="0"/>
    </xf>
    <xf numFmtId="2" fontId="13" fillId="2" borderId="1" xfId="1" applyNumberFormat="1" applyBorder="1" applyProtection="1">
      <protection locked="0"/>
    </xf>
    <xf numFmtId="0" fontId="14" fillId="3" borderId="1" xfId="2" applyFont="1" applyFill="1" applyBorder="1" applyAlignment="1" applyProtection="1">
      <alignment horizontal="center"/>
    </xf>
    <xf numFmtId="2" fontId="3" fillId="2" borderId="1" xfId="1" applyNumberFormat="1" applyFont="1" applyBorder="1" applyProtection="1">
      <protection locked="0"/>
    </xf>
    <xf numFmtId="10" fontId="3" fillId="2" borderId="1" xfId="1" applyNumberFormat="1" applyFont="1" applyBorder="1" applyProtection="1">
      <protection locked="0"/>
    </xf>
    <xf numFmtId="0" fontId="3" fillId="2" borderId="2" xfId="1" applyFont="1" applyAlignment="1" applyProtection="1">
      <alignment horizontal="center"/>
    </xf>
    <xf numFmtId="10" fontId="13" fillId="2" borderId="1" xfId="1" applyNumberFormat="1" applyBorder="1" applyProtection="1">
      <protection locked="0"/>
    </xf>
    <xf numFmtId="0" fontId="29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6" fillId="5" borderId="1" xfId="5" applyFont="1" applyBorder="1" applyAlignment="1" applyProtection="1">
      <alignment horizontal="center"/>
    </xf>
    <xf numFmtId="0" fontId="24" fillId="0" borderId="0" xfId="0" applyFont="1" applyBorder="1" applyAlignment="1">
      <alignment horizontal="center" vertical="center" wrapText="1"/>
    </xf>
    <xf numFmtId="165" fontId="10" fillId="0" borderId="3" xfId="2" applyNumberFormat="1" applyFont="1" applyBorder="1" applyAlignment="1"/>
    <xf numFmtId="165" fontId="10" fillId="0" borderId="4" xfId="2" applyNumberFormat="1" applyFont="1" applyBorder="1" applyAlignment="1"/>
    <xf numFmtId="165" fontId="10" fillId="0" borderId="5" xfId="2" applyNumberFormat="1" applyFont="1" applyBorder="1" applyAlignment="1"/>
    <xf numFmtId="0" fontId="14" fillId="3" borderId="1" xfId="2" applyFont="1" applyFill="1" applyBorder="1" applyAlignment="1" applyProtection="1">
      <alignment horizontal="center"/>
    </xf>
    <xf numFmtId="0" fontId="7" fillId="6" borderId="3" xfId="5" applyFont="1" applyFill="1" applyBorder="1" applyAlignment="1" applyProtection="1">
      <alignment horizontal="center"/>
    </xf>
    <xf numFmtId="0" fontId="7" fillId="6" borderId="4" xfId="5" applyFont="1" applyFill="1" applyBorder="1" applyAlignment="1" applyProtection="1">
      <alignment horizontal="center"/>
    </xf>
    <xf numFmtId="0" fontId="7" fillId="6" borderId="5" xfId="5" applyFont="1" applyFill="1" applyBorder="1" applyAlignment="1" applyProtection="1">
      <alignment horizontal="center"/>
    </xf>
    <xf numFmtId="0" fontId="22" fillId="4" borderId="6" xfId="2" applyFont="1" applyFill="1" applyBorder="1" applyAlignment="1" applyProtection="1"/>
    <xf numFmtId="0" fontId="22" fillId="4" borderId="0" xfId="2" applyFont="1" applyFill="1" applyBorder="1" applyAlignment="1" applyProtection="1"/>
    <xf numFmtId="0" fontId="2" fillId="0" borderId="1" xfId="2" applyFont="1" applyBorder="1" applyAlignment="1" applyProtection="1">
      <alignment horizontal="center"/>
    </xf>
    <xf numFmtId="0" fontId="5" fillId="0" borderId="1" xfId="2" applyFont="1" applyBorder="1" applyAlignment="1"/>
    <xf numFmtId="0" fontId="5" fillId="0" borderId="1" xfId="2" applyFont="1" applyBorder="1" applyAlignment="1" applyProtection="1"/>
    <xf numFmtId="0" fontId="11" fillId="0" borderId="1" xfId="2" applyFont="1" applyBorder="1" applyAlignment="1" applyProtection="1"/>
    <xf numFmtId="0" fontId="14" fillId="3" borderId="3" xfId="2" applyFont="1" applyFill="1" applyBorder="1" applyAlignment="1" applyProtection="1">
      <alignment horizontal="center" wrapText="1"/>
    </xf>
    <xf numFmtId="0" fontId="14" fillId="3" borderId="5" xfId="2" applyFont="1" applyFill="1" applyBorder="1" applyAlignment="1" applyProtection="1">
      <alignment horizontal="center" wrapText="1"/>
    </xf>
    <xf numFmtId="0" fontId="38" fillId="0" borderId="1" xfId="2" applyFont="1" applyBorder="1" applyAlignment="1" applyProtection="1"/>
    <xf numFmtId="0" fontId="5" fillId="0" borderId="3" xfId="2" applyFont="1" applyBorder="1" applyAlignment="1"/>
    <xf numFmtId="0" fontId="5" fillId="0" borderId="5" xfId="2" applyFont="1" applyBorder="1" applyAlignment="1"/>
    <xf numFmtId="0" fontId="14" fillId="3" borderId="1" xfId="2" applyFont="1" applyFill="1" applyBorder="1" applyAlignment="1" applyProtection="1">
      <alignment horizontal="center" vertical="center" wrapText="1"/>
    </xf>
    <xf numFmtId="0" fontId="14" fillId="3" borderId="1" xfId="2" applyFont="1" applyFill="1" applyBorder="1" applyAlignment="1" applyProtection="1">
      <alignment horizontal="center" wrapText="1"/>
    </xf>
  </cellXfs>
  <cellStyles count="6">
    <cellStyle name="Input" xfId="1" builtinId="20"/>
    <cellStyle name="Normal" xfId="0" builtinId="0"/>
    <cellStyle name="Normal 2" xfId="2" xr:uid="{00000000-0005-0000-0000-000002000000}"/>
    <cellStyle name="Note" xfId="5" builtinId="10"/>
    <cellStyle name="Percent" xfId="4" builtinId="5"/>
    <cellStyle name="Percent 2" xfId="3" xr:uid="{00000000-0005-0000-0000-000005000000}"/>
  </cellStyles>
  <dxfs count="32"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font>
        <color theme="0"/>
      </font>
      <numFmt numFmtId="0" formatCode="General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</dxf>
    <dxf>
      <numFmt numFmtId="167" formatCode=";;"/>
    </dxf>
    <dxf>
      <numFmt numFmtId="167" formatCode=";;"/>
    </dxf>
    <dxf>
      <font>
        <b/>
        <i val="0"/>
        <color rgb="FF002060"/>
      </font>
      <fill>
        <patternFill>
          <bgColor rgb="FFFF0000"/>
        </patternFill>
      </fill>
    </dxf>
    <dxf>
      <font>
        <color theme="0"/>
      </font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;;"/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 and Optimal Portfolios</a:t>
            </a:r>
          </a:p>
          <a:p>
            <a:pPr>
              <a:defRPr/>
            </a:pPr>
            <a:r>
              <a:rPr lang="en-US" sz="1400"/>
              <a:t>Sharpe Model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Unconstrained Frontier</c:v>
          </c:tx>
          <c:marker>
            <c:symbol val="none"/>
          </c:marker>
          <c:xVal>
            <c:numRef>
              <c:f>Data!$V$9:$V$28</c:f>
              <c:numCache>
                <c:formatCode>0%</c:formatCode>
                <c:ptCount val="20"/>
                <c:pt idx="0">
                  <c:v>0.22974686611012535</c:v>
                </c:pt>
                <c:pt idx="1">
                  <c:v>0.20930688914096562</c:v>
                </c:pt>
                <c:pt idx="2">
                  <c:v>0.18930011005767869</c:v>
                </c:pt>
                <c:pt idx="3">
                  <c:v>0.16987965141642553</c:v>
                </c:pt>
                <c:pt idx="4">
                  <c:v>0.15127150007327692</c:v>
                </c:pt>
                <c:pt idx="5">
                  <c:v>0.13381496170088295</c:v>
                </c:pt>
                <c:pt idx="6">
                  <c:v>0.11802214913792375</c:v>
                </c:pt>
                <c:pt idx="7">
                  <c:v>0.10464902231170656</c:v>
                </c:pt>
                <c:pt idx="8">
                  <c:v>9.4725997096858083E-2</c:v>
                </c:pt>
                <c:pt idx="9">
                  <c:v>8.9409270507750299E-2</c:v>
                </c:pt>
                <c:pt idx="10">
                  <c:v>8.95233335561091E-2</c:v>
                </c:pt>
                <c:pt idx="11">
                  <c:v>9.5048636606764936E-2</c:v>
                </c:pt>
                <c:pt idx="12">
                  <c:v>0.1051354643407614</c:v>
                </c:pt>
                <c:pt idx="13">
                  <c:v>0.11862586090320427</c:v>
                </c:pt>
                <c:pt idx="14">
                  <c:v>0.13449955523882373</c:v>
                </c:pt>
                <c:pt idx="15">
                  <c:v>0.15201175058327773</c:v>
                </c:pt>
                <c:pt idx="16">
                  <c:v>0.1706587845464746</c:v>
                </c:pt>
                <c:pt idx="17">
                  <c:v>0.19010701102774627</c:v>
                </c:pt>
                <c:pt idx="18">
                  <c:v>0.21013409293225935</c:v>
                </c:pt>
                <c:pt idx="19">
                  <c:v>0.23058925572228944</c:v>
                </c:pt>
              </c:numCache>
            </c:numRef>
          </c:xVal>
          <c:yVal>
            <c:numRef>
              <c:f>Data!$U$9:$U$28</c:f>
              <c:numCache>
                <c:formatCode>0%</c:formatCode>
                <c:ptCount val="20"/>
                <c:pt idx="0">
                  <c:v>-5.3050533419875187E-3</c:v>
                </c:pt>
                <c:pt idx="1">
                  <c:v>1.7904431739551438E-3</c:v>
                </c:pt>
                <c:pt idx="2">
                  <c:v>8.8859396898978062E-3</c:v>
                </c:pt>
                <c:pt idx="3">
                  <c:v>1.5981436205840468E-2</c:v>
                </c:pt>
                <c:pt idx="4">
                  <c:v>2.3076932721783131E-2</c:v>
                </c:pt>
                <c:pt idx="5">
                  <c:v>3.0172429237725795E-2</c:v>
                </c:pt>
                <c:pt idx="6">
                  <c:v>3.7267925753668454E-2</c:v>
                </c:pt>
                <c:pt idx="7">
                  <c:v>4.4363422269611118E-2</c:v>
                </c:pt>
                <c:pt idx="8">
                  <c:v>5.1458918785553781E-2</c:v>
                </c:pt>
                <c:pt idx="9">
                  <c:v>5.8554415301496444E-2</c:v>
                </c:pt>
                <c:pt idx="10">
                  <c:v>6.5649911817439108E-2</c:v>
                </c:pt>
                <c:pt idx="11">
                  <c:v>7.2745408333381764E-2</c:v>
                </c:pt>
                <c:pt idx="12">
                  <c:v>7.9840904849324421E-2</c:v>
                </c:pt>
                <c:pt idx="13">
                  <c:v>8.6936401365267077E-2</c:v>
                </c:pt>
                <c:pt idx="14">
                  <c:v>9.4031897881209733E-2</c:v>
                </c:pt>
                <c:pt idx="15">
                  <c:v>0.10112739439715239</c:v>
                </c:pt>
                <c:pt idx="16">
                  <c:v>0.10822289091309505</c:v>
                </c:pt>
                <c:pt idx="17">
                  <c:v>0.1153183874290377</c:v>
                </c:pt>
                <c:pt idx="18">
                  <c:v>0.12241388394498036</c:v>
                </c:pt>
                <c:pt idx="19">
                  <c:v>0.12950938046092303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A1-4288-AC4D-C8B15B596E19}"/>
            </c:ext>
          </c:extLst>
        </c:ser>
        <c:ser>
          <c:idx val="1"/>
          <c:order val="1"/>
          <c:tx>
            <c:v>Unconstrained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</c:spPr>
          </c:marker>
          <c:xVal>
            <c:numRef>
              <c:f>Models!$C$42</c:f>
              <c:numCache>
                <c:formatCode>0.00%</c:formatCode>
                <c:ptCount val="1"/>
                <c:pt idx="0">
                  <c:v>9.0076150143659398E-2</c:v>
                </c:pt>
              </c:numCache>
            </c:numRef>
          </c:xVal>
          <c:yVal>
            <c:numRef>
              <c:f>Models!$C$41</c:f>
              <c:numCache>
                <c:formatCode>0.00%</c:formatCode>
                <c:ptCount val="1"/>
                <c:pt idx="0">
                  <c:v>6.2102163559467773E-2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A1-4288-AC4D-C8B15B596E19}"/>
            </c:ext>
          </c:extLst>
        </c:ser>
        <c:ser>
          <c:idx val="8"/>
          <c:order val="2"/>
          <c:tx>
            <c:v>Constrained Global Minimum Variance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2">
                  <a:lumMod val="25000"/>
                </a:schemeClr>
              </a:solidFill>
            </c:spPr>
          </c:marker>
          <c:xVal>
            <c:numRef>
              <c:f>Models!$G$42</c:f>
              <c:numCache>
                <c:formatCode>0.00%</c:formatCode>
                <c:ptCount val="1"/>
                <c:pt idx="0">
                  <c:v>0.11412053831138151</c:v>
                </c:pt>
              </c:numCache>
            </c:numRef>
          </c:xVal>
          <c:yVal>
            <c:numRef>
              <c:f>Models!$G$41</c:f>
              <c:numCache>
                <c:formatCode>0.00%</c:formatCode>
                <c:ptCount val="1"/>
                <c:pt idx="0">
                  <c:v>7.9310534837032029E-2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A1-4288-AC4D-C8B15B596E19}"/>
            </c:ext>
          </c:extLst>
        </c:ser>
        <c:ser>
          <c:idx val="2"/>
          <c:order val="3"/>
          <c:tx>
            <c:v>Maximize Expected Utility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2060"/>
              </a:solidFill>
            </c:spPr>
          </c:marker>
          <c:xVal>
            <c:numRef>
              <c:f>Models!$K$42</c:f>
              <c:numCache>
                <c:formatCode>0.00%</c:formatCode>
                <c:ptCount val="1"/>
                <c:pt idx="0">
                  <c:v>0.11893701190310084</c:v>
                </c:pt>
              </c:numCache>
            </c:numRef>
          </c:xVal>
          <c:yVal>
            <c:numRef>
              <c:f>Models!$K$41</c:f>
              <c:numCache>
                <c:formatCode>0.00%</c:formatCode>
                <c:ptCount val="1"/>
                <c:pt idx="0">
                  <c:v>8.5651913805437768E-2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A1-4288-AC4D-C8B15B596E19}"/>
            </c:ext>
          </c:extLst>
        </c:ser>
        <c:ser>
          <c:idx val="3"/>
          <c:order val="4"/>
          <c:tx>
            <c:v>Minimize Std Dev for Exp Ret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xVal>
            <c:numRef>
              <c:f>Models!$O$42</c:f>
              <c:numCache>
                <c:formatCode>0.00%</c:formatCode>
                <c:ptCount val="1"/>
                <c:pt idx="0">
                  <c:v>0.14961133102984747</c:v>
                </c:pt>
              </c:numCache>
            </c:numRef>
          </c:xVal>
          <c:yVal>
            <c:numRef>
              <c:f>Models!$O$41</c:f>
              <c:numCache>
                <c:formatCode>0.00%</c:formatCode>
                <c:ptCount val="1"/>
                <c:pt idx="0">
                  <c:v>9.9999999807915907E-2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EA1-4288-AC4D-C8B15B596E19}"/>
            </c:ext>
          </c:extLst>
        </c:ser>
        <c:ser>
          <c:idx val="4"/>
          <c:order val="5"/>
          <c:tx>
            <c:v>Maximize Exp Ret for Std Dev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Models!$S$42</c:f>
              <c:numCache>
                <c:formatCode>0.00%</c:formatCode>
                <c:ptCount val="1"/>
                <c:pt idx="0">
                  <c:v>0.20000045567517402</c:v>
                </c:pt>
              </c:numCache>
            </c:numRef>
          </c:xVal>
          <c:yVal>
            <c:numRef>
              <c:f>Models!$S$41</c:f>
              <c:numCache>
                <c:formatCode>0.00%</c:formatCode>
                <c:ptCount val="1"/>
                <c:pt idx="0">
                  <c:v>0.11875350319901878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EA1-4288-AC4D-C8B15B596E19}"/>
            </c:ext>
          </c:extLst>
        </c:ser>
        <c:ser>
          <c:idx val="5"/>
          <c:order val="6"/>
          <c:tx>
            <c:v>Maximize CAL Slope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numRef>
              <c:f>Models!$W$42</c:f>
              <c:numCache>
                <c:formatCode>0.00%</c:formatCode>
                <c:ptCount val="1"/>
                <c:pt idx="0">
                  <c:v>0.2307751717876681</c:v>
                </c:pt>
              </c:numCache>
            </c:numRef>
          </c:xVal>
          <c:yVal>
            <c:numRef>
              <c:f>Models!$W$41</c:f>
              <c:numCache>
                <c:formatCode>0.00%</c:formatCode>
                <c:ptCount val="1"/>
                <c:pt idx="0">
                  <c:v>0.12950938046092306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EA1-4288-AC4D-C8B15B596E19}"/>
            </c:ext>
          </c:extLst>
        </c:ser>
        <c:ser>
          <c:idx val="10"/>
          <c:order val="7"/>
          <c:tx>
            <c:v>Minimize Std Dev for Beta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Models!$AA$42</c:f>
              <c:numCache>
                <c:formatCode>0.00%</c:formatCode>
                <c:ptCount val="1"/>
                <c:pt idx="0">
                  <c:v>0.16510375729866292</c:v>
                </c:pt>
              </c:numCache>
            </c:numRef>
          </c:xVal>
          <c:yVal>
            <c:numRef>
              <c:f>Models!$AA$41</c:f>
              <c:numCache>
                <c:formatCode>0.00%</c:formatCode>
                <c:ptCount val="1"/>
                <c:pt idx="0">
                  <c:v>0.106000000353945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EA1-4288-AC4D-C8B15B596E19}"/>
            </c:ext>
          </c:extLst>
        </c:ser>
        <c:ser>
          <c:idx val="6"/>
          <c:order val="8"/>
          <c:tx>
            <c:v>Risk-free Rate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Data!$B$4</c:f>
              <c:numCache>
                <c:formatCode>0.00%</c:formatCode>
                <c:ptCount val="1"/>
                <c:pt idx="0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EA1-4288-AC4D-C8B15B596E19}"/>
            </c:ext>
          </c:extLst>
        </c:ser>
        <c:ser>
          <c:idx val="7"/>
          <c:order val="9"/>
          <c:tx>
            <c:v>Capital Allocation Line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Models!$V$53:$V$55</c:f>
              <c:numCache>
                <c:formatCode>0.00%</c:formatCode>
                <c:ptCount val="3"/>
                <c:pt idx="0">
                  <c:v>0</c:v>
                </c:pt>
                <c:pt idx="1">
                  <c:v>0.2307751717876681</c:v>
                </c:pt>
                <c:pt idx="2">
                  <c:v>0.34616275768150218</c:v>
                </c:pt>
              </c:numCache>
            </c:numRef>
          </c:xVal>
          <c:yVal>
            <c:numRef>
              <c:f>Models!$W$53:$W$55</c:f>
              <c:numCache>
                <c:formatCode>0.00%</c:formatCode>
                <c:ptCount val="3"/>
                <c:pt idx="0">
                  <c:v>0.05</c:v>
                </c:pt>
                <c:pt idx="1">
                  <c:v>0.12950938046092306</c:v>
                </c:pt>
                <c:pt idx="2">
                  <c:v>0.1692640706913846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EA1-4288-AC4D-C8B15B596E19}"/>
            </c:ext>
          </c:extLst>
        </c:ser>
        <c:ser>
          <c:idx val="9"/>
          <c:order val="10"/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Data!$A$9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{09411C1F-6FB8-4C5C-8A36-2ED3084BFBA6}</c15:txfldGUID>
                      <c15:f>Data!$A$9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EA1-4288-AC4D-C8B15B596E19}"/>
                </c:ext>
              </c:extLst>
            </c:dLbl>
            <c:dLbl>
              <c:idx val="1"/>
              <c:tx>
                <c:strRef>
                  <c:f>Data!$A$10</c:f>
                  <c:strCache>
                    <c:ptCount val="1"/>
                    <c:pt idx="0">
                      <c:v>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{1CD765B6-87C3-4B5C-A630-12862BF3EE84}</c15:txfldGUID>
                      <c15:f>Data!$A$10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EA1-4288-AC4D-C8B15B596E19}"/>
                </c:ext>
              </c:extLst>
            </c:dLbl>
            <c:dLbl>
              <c:idx val="2"/>
              <c:tx>
                <c:strRef>
                  <c:f>Data!$A$11</c:f>
                  <c:strCache>
                    <c:ptCount val="1"/>
                    <c:pt idx="0">
                      <c:v>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{BCFBEF1D-DE25-4833-ACF6-B4E63A6E741B}</c15:txfldGUID>
                      <c15:f>Data!$A$11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BEA1-4288-AC4D-C8B15B596E19}"/>
                </c:ext>
              </c:extLst>
            </c:dLbl>
            <c:dLbl>
              <c:idx val="3"/>
              <c:tx>
                <c:strRef>
                  <c:f>Data!$A$12</c:f>
                  <c:strCache>
                    <c:ptCount val="1"/>
                    <c:pt idx="0">
                      <c:v>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{0F14EE93-6A01-40FD-83A7-2802123EECC0}</c15:txfldGUID>
                      <c15:f>Data!$A$12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BEA1-4288-AC4D-C8B15B596E19}"/>
                </c:ext>
              </c:extLst>
            </c:dLbl>
            <c:dLbl>
              <c:idx val="4"/>
              <c:tx>
                <c:strRef>
                  <c:f>Data!$A$13</c:f>
                  <c:strCache>
                    <c:ptCount val="1"/>
                    <c:pt idx="0">
                      <c:v>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{FB7BE370-9434-4D3C-847E-86216A664C3E}</c15:txfldGUID>
                      <c15:f>Data!$A$13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BEA1-4288-AC4D-C8B15B596E19}"/>
                </c:ext>
              </c:extLst>
            </c:dLbl>
            <c:dLbl>
              <c:idx val="5"/>
              <c:tx>
                <c:strRef>
                  <c:f>Data!$A$14</c:f>
                  <c:strCache>
                    <c:ptCount val="1"/>
                    <c:pt idx="0">
                      <c:v>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{98C9BE42-1590-4193-BCB5-76A36C8850DA}</c15:txfldGUID>
                      <c15:f>Data!$A$14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BEA1-4288-AC4D-C8B15B596E19}"/>
                </c:ext>
              </c:extLst>
            </c:dLbl>
            <c:dLbl>
              <c:idx val="6"/>
              <c:tx>
                <c:strRef>
                  <c:f>Data!$A$15</c:f>
                  <c:strCache>
                    <c:ptCount val="1"/>
                    <c:pt idx="0">
                      <c:v>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{54B71DDA-B0E0-4FBD-8F9C-546D9FE2772B}</c15:txfldGUID>
                      <c15:f>Data!$A$15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BEA1-4288-AC4D-C8B15B596E19}"/>
                </c:ext>
              </c:extLst>
            </c:dLbl>
            <c:dLbl>
              <c:idx val="7"/>
              <c:tx>
                <c:strRef>
                  <c:f>Data!$A$16</c:f>
                  <c:strCache>
                    <c:ptCount val="1"/>
                    <c:pt idx="0">
                      <c:v>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{9715260D-F6C3-4F46-88A6-8BE22CB3DD0D}</c15:txfldGUID>
                      <c15:f>Data!$A$16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BEA1-4288-AC4D-C8B15B596E19}"/>
                </c:ext>
              </c:extLst>
            </c:dLbl>
            <c:dLbl>
              <c:idx val="8"/>
              <c:tx>
                <c:strRef>
                  <c:f>Data!$A$17</c:f>
                  <c:strCache>
                    <c:ptCount val="1"/>
                    <c:pt idx="0">
                      <c:v>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{03CBE458-E640-42E3-ADD5-B2CE6F7A97F8}</c15:txfldGUID>
                      <c15:f>Data!$A$17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BEA1-4288-AC4D-C8B15B596E19}"/>
                </c:ext>
              </c:extLst>
            </c:dLbl>
            <c:dLbl>
              <c:idx val="9"/>
              <c:tx>
                <c:strRef>
                  <c:f>Data!$A$18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{379CF5E6-C622-4E00-B74B-D21A89A36165}</c15:txfldGUID>
                      <c15:f>Data!$A$18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BEA1-4288-AC4D-C8B15B596E19}"/>
                </c:ext>
              </c:extLst>
            </c:dLbl>
            <c:dLbl>
              <c:idx val="10"/>
              <c:tx>
                <c:strRef>
                  <c:f>Data!$A$19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{D0407299-DFC8-4A47-ADC9-CE2A88629B94}</c15:txfldGUID>
                      <c15:f>Data!$A$19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BEA1-4288-AC4D-C8B15B596E19}"/>
                </c:ext>
              </c:extLst>
            </c:dLbl>
            <c:dLbl>
              <c:idx val="11"/>
              <c:tx>
                <c:strRef>
                  <c:f>Data!$A$20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{9E97A419-8CBA-4090-8F8C-30718988BCEE}</c15:txfldGUID>
                      <c15:f>Data!$A$20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BEA1-4288-AC4D-C8B15B596E19}"/>
                </c:ext>
              </c:extLst>
            </c:dLbl>
            <c:dLbl>
              <c:idx val="12"/>
              <c:tx>
                <c:strRef>
                  <c:f>Data!$A$21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{B4A5F233-99BD-493F-9681-39B1DE1B1C28}</c15:txfldGUID>
                      <c15:f>Data!$A$21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BEA1-4288-AC4D-C8B15B596E19}"/>
                </c:ext>
              </c:extLst>
            </c:dLbl>
            <c:dLbl>
              <c:idx val="13"/>
              <c:tx>
                <c:strRef>
                  <c:f>Data!$A$22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{159D5FA7-4C37-40C0-AF4C-4F53258B3544}</c15:txfldGUID>
                      <c15:f>Data!$A$22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BEA1-4288-AC4D-C8B15B596E19}"/>
                </c:ext>
              </c:extLst>
            </c:dLbl>
            <c:dLbl>
              <c:idx val="14"/>
              <c:tx>
                <c:strRef>
                  <c:f>Data!$A$23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{0928EA91-F708-48BA-ACAC-BD7071F7650C}</c15:txfldGUID>
                      <c15:f>Data!$A$23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BEA1-4288-AC4D-C8B15B596E19}"/>
                </c:ext>
              </c:extLst>
            </c:dLbl>
            <c:dLbl>
              <c:idx val="15"/>
              <c:tx>
                <c:strRef>
                  <c:f>Data!$A$24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{2D69EBE2-CC50-4F42-8770-2979EE8D4D20}</c15:txfldGUID>
                      <c15:f>Data!$A$24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BEA1-4288-AC4D-C8B15B596E19}"/>
                </c:ext>
              </c:extLst>
            </c:dLbl>
            <c:dLbl>
              <c:idx val="16"/>
              <c:tx>
                <c:strRef>
                  <c:f>Data!$A$25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{DDBB49E7-1DD5-4B69-82D9-296AE9B45C72}</c15:txfldGUID>
                      <c15:f>Data!$A$25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BEA1-4288-AC4D-C8B15B596E19}"/>
                </c:ext>
              </c:extLst>
            </c:dLbl>
            <c:dLbl>
              <c:idx val="17"/>
              <c:tx>
                <c:strRef>
                  <c:f>Data!$A$26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{4C29CEC3-5876-4DCF-A9B0-F6353E75A5BD}</c15:txfldGUID>
                      <c15:f>Data!$A$26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BEA1-4288-AC4D-C8B15B596E19}"/>
                </c:ext>
              </c:extLst>
            </c:dLbl>
            <c:dLbl>
              <c:idx val="18"/>
              <c:tx>
                <c:strRef>
                  <c:f>Data!$A$27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{68836BBD-BB85-4900-AE2F-1D341C5FF0F3}</c15:txfldGUID>
                      <c15:f>Data!$A$27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BEA1-4288-AC4D-C8B15B596E19}"/>
                </c:ext>
              </c:extLst>
            </c:dLbl>
            <c:dLbl>
              <c:idx val="19"/>
              <c:tx>
                <c:strRef>
                  <c:f>Data!$A$28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{99E8E51A-56DB-4EB3-A03B-7C77603FF865}</c15:txfldGUID>
                      <c15:f>Data!$A$28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BEA1-4288-AC4D-C8B15B596E19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[0]!sigma</c:f>
              <c:numCache>
                <c:formatCode>0.00%</c:formatCode>
                <c:ptCount val="20"/>
                <c:pt idx="0">
                  <c:v>0.16970562748477142</c:v>
                </c:pt>
                <c:pt idx="1">
                  <c:v>0.14560219778561037</c:v>
                </c:pt>
                <c:pt idx="2">
                  <c:v>0.21931712199461312</c:v>
                </c:pt>
                <c:pt idx="3">
                  <c:v>0.19104973174542803</c:v>
                </c:pt>
                <c:pt idx="4">
                  <c:v>0.29902508255997523</c:v>
                </c:pt>
                <c:pt idx="5">
                  <c:v>0.31052214091751978</c:v>
                </c:pt>
                <c:pt idx="6">
                  <c:v>0.26076809620810598</c:v>
                </c:pt>
                <c:pt idx="7">
                  <c:v>0.32649655434629021</c:v>
                </c:pt>
                <c:pt idx="8">
                  <c:v>0.2363810483097154</c:v>
                </c:pt>
                <c:pt idx="9">
                  <c:v>0.29721372781215877</c:v>
                </c:pt>
                <c:pt idx="10">
                  <c:v>0.32829255245893108</c:v>
                </c:pt>
                <c:pt idx="11">
                  <c:v>0.34560671289776762</c:v>
                </c:pt>
                <c:pt idx="12">
                  <c:v>0.22973027662891979</c:v>
                </c:pt>
                <c:pt idx="13">
                  <c:v>0.26293725487271674</c:v>
                </c:pt>
                <c:pt idx="14">
                  <c:v>0.1984943324127921</c:v>
                </c:pt>
                <c:pt idx="15">
                  <c:v>0.30782462539569511</c:v>
                </c:pt>
                <c:pt idx="16">
                  <c:v>0.30643759560471689</c:v>
                </c:pt>
                <c:pt idx="17">
                  <c:v>0.34738451318387814</c:v>
                </c:pt>
                <c:pt idx="18">
                  <c:v>0.23760471375795558</c:v>
                </c:pt>
                <c:pt idx="19">
                  <c:v>0.2818581203371654</c:v>
                </c:pt>
              </c:numCache>
            </c:numRef>
          </c:xVal>
          <c:yVal>
            <c:numRef>
              <c:f>[0]!ER</c:f>
              <c:numCache>
                <c:formatCode>0.00%</c:formatCode>
                <c:ptCount val="20"/>
                <c:pt idx="0">
                  <c:v>9.1999999999999998E-2</c:v>
                </c:pt>
                <c:pt idx="1">
                  <c:v>6.4000000000000001E-2</c:v>
                </c:pt>
                <c:pt idx="2">
                  <c:v>0.106</c:v>
                </c:pt>
                <c:pt idx="3">
                  <c:v>9.5500000000000002E-2</c:v>
                </c:pt>
                <c:pt idx="4">
                  <c:v>0.1361</c:v>
                </c:pt>
                <c:pt idx="5">
                  <c:v>0.1487</c:v>
                </c:pt>
                <c:pt idx="6">
                  <c:v>0.127</c:v>
                </c:pt>
                <c:pt idx="7">
                  <c:v>0.1515</c:v>
                </c:pt>
                <c:pt idx="8">
                  <c:v>9.4099999999999989E-2</c:v>
                </c:pt>
                <c:pt idx="9">
                  <c:v>0.10039999999999999</c:v>
                </c:pt>
                <c:pt idx="10">
                  <c:v>0.12840000000000001</c:v>
                </c:pt>
                <c:pt idx="11">
                  <c:v>0.11579999999999999</c:v>
                </c:pt>
                <c:pt idx="12">
                  <c:v>0.1109</c:v>
                </c:pt>
                <c:pt idx="13">
                  <c:v>0.10039999999999999</c:v>
                </c:pt>
                <c:pt idx="14">
                  <c:v>9.5500000000000002E-2</c:v>
                </c:pt>
                <c:pt idx="15">
                  <c:v>0.13189999999999999</c:v>
                </c:pt>
                <c:pt idx="16">
                  <c:v>0.13679999999999998</c:v>
                </c:pt>
                <c:pt idx="17">
                  <c:v>0.16409999999999997</c:v>
                </c:pt>
                <c:pt idx="18">
                  <c:v>0.1081</c:v>
                </c:pt>
                <c:pt idx="19">
                  <c:v>0.11579999999999999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BEA1-4288-AC4D-C8B15B59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03488"/>
        <c:axId val="436804272"/>
      </c:scatterChart>
      <c:valAx>
        <c:axId val="436803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>
                    <a:latin typeface="Symbol" pitchFamily="18" charset="2"/>
                  </a:rPr>
                  <a:t>s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36804272"/>
        <c:crosses val="autoZero"/>
        <c:crossBetween val="midCat"/>
      </c:valAx>
      <c:valAx>
        <c:axId val="4368042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E(r)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436803488"/>
        <c:crosses val="autoZero"/>
        <c:crossBetween val="midCat"/>
      </c:valAx>
      <c:spPr>
        <a:noFill/>
      </c:spPr>
    </c:plotArea>
    <c:legend>
      <c:legendPos val="l"/>
      <c:legendEntry>
        <c:idx val="10"/>
        <c:delete val="1"/>
      </c:legendEntry>
      <c:layout>
        <c:manualLayout>
          <c:xMode val="edge"/>
          <c:yMode val="edge"/>
          <c:x val="0.70122498203643369"/>
          <c:y val="0.53831321581754443"/>
          <c:w val="0.26520462667205891"/>
          <c:h val="0.3403385345246363"/>
        </c:manualLayout>
      </c:layout>
      <c:overlay val="1"/>
      <c:spPr>
        <a:noFill/>
        <a:ln>
          <a:solidFill>
            <a:sysClr val="windowText" lastClr="000000"/>
          </a:solidFill>
        </a:ln>
      </c:spPr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1"/>
  <sheetViews>
    <sheetView tabSelected="1" zoomScale="12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9</xdr:row>
      <xdr:rowOff>114300</xdr:rowOff>
    </xdr:from>
    <xdr:to>
      <xdr:col>13</xdr:col>
      <xdr:colOff>447674</xdr:colOff>
      <xdr:row>20</xdr:row>
      <xdr:rowOff>190499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000500" y="1981200"/>
          <a:ext cx="2943224" cy="2171699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Notes: </a:t>
          </a:r>
        </a:p>
        <a:p>
          <a:endParaRPr lang="en-US" sz="1100"/>
        </a:p>
        <a:p>
          <a:r>
            <a:rPr lang="en-US" sz="1100"/>
            <a:t>1.  The</a:t>
          </a:r>
          <a:r>
            <a:rPr lang="en-US" sz="1100" baseline="0"/>
            <a:t> time units for all the returns,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including the risk-free rate, </a:t>
          </a:r>
          <a:r>
            <a:rPr lang="en-US" sz="1100" baseline="0"/>
            <a:t>should be the same (% per year, % per month, or % per week).</a:t>
          </a:r>
        </a:p>
        <a:p>
          <a:endParaRPr lang="en-US" sz="1100" baseline="0"/>
        </a:p>
        <a:p>
          <a:r>
            <a:rPr lang="en-US" sz="1100" baseline="0"/>
            <a:t>2. The model can accept up to 20 stocks. If you have fewer than 20 stocks, set the weight limits for the remaining stocks to between 0% and 0%.</a:t>
          </a: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152400</xdr:rowOff>
        </xdr:from>
        <xdr:to>
          <xdr:col>6</xdr:col>
          <xdr:colOff>476250</xdr:colOff>
          <xdr:row>5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Optimizer!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A1:I51"/>
  <sheetViews>
    <sheetView showGridLines="0" workbookViewId="0">
      <selection sqref="A1:I1"/>
    </sheetView>
  </sheetViews>
  <sheetFormatPr defaultColWidth="9.140625" defaultRowHeight="15" x14ac:dyDescent="0.25"/>
  <cols>
    <col min="1" max="16384" width="9.140625" style="1"/>
  </cols>
  <sheetData>
    <row r="1" spans="1:9" ht="18.75" x14ac:dyDescent="0.3">
      <c r="A1" s="72" t="s">
        <v>59</v>
      </c>
      <c r="B1" s="72"/>
      <c r="C1" s="72"/>
      <c r="D1" s="72"/>
      <c r="E1" s="72"/>
      <c r="F1" s="72"/>
      <c r="G1" s="72"/>
      <c r="H1" s="72"/>
      <c r="I1" s="72"/>
    </row>
    <row r="2" spans="1:9" ht="15.75" x14ac:dyDescent="0.25">
      <c r="A2" s="73" t="s">
        <v>0</v>
      </c>
      <c r="B2" s="73"/>
      <c r="C2" s="73"/>
      <c r="D2" s="73"/>
      <c r="E2" s="73"/>
      <c r="F2" s="73"/>
      <c r="G2" s="73"/>
      <c r="H2" s="73"/>
      <c r="I2" s="73"/>
    </row>
    <row r="3" spans="1:9" x14ac:dyDescent="0.25">
      <c r="A3" s="75" t="s">
        <v>113</v>
      </c>
      <c r="B3" s="75"/>
      <c r="C3" s="75"/>
      <c r="D3" s="75"/>
      <c r="E3" s="75"/>
      <c r="F3" s="75"/>
      <c r="G3" s="75"/>
      <c r="H3" s="75"/>
      <c r="I3" s="75"/>
    </row>
    <row r="4" spans="1:9" x14ac:dyDescent="0.25">
      <c r="A4" s="74" t="s">
        <v>10</v>
      </c>
      <c r="B4" s="74"/>
      <c r="C4" s="74"/>
      <c r="D4" s="74"/>
      <c r="E4" s="74"/>
      <c r="F4" s="74"/>
      <c r="G4" s="74"/>
      <c r="H4" s="74"/>
      <c r="I4" s="74"/>
    </row>
    <row r="6" spans="1:9" x14ac:dyDescent="0.25">
      <c r="A6" s="63" t="s">
        <v>75</v>
      </c>
      <c r="B6" s="2"/>
    </row>
    <row r="7" spans="1:9" x14ac:dyDescent="0.25">
      <c r="A7" s="63" t="s">
        <v>76</v>
      </c>
      <c r="B7" s="2"/>
    </row>
    <row r="8" spans="1:9" x14ac:dyDescent="0.25">
      <c r="A8" s="63" t="s">
        <v>77</v>
      </c>
      <c r="B8" s="2"/>
    </row>
    <row r="9" spans="1:9" x14ac:dyDescent="0.25">
      <c r="A9" s="1" t="s">
        <v>78</v>
      </c>
    </row>
    <row r="10" spans="1:9" x14ac:dyDescent="0.25">
      <c r="A10" s="1" t="s">
        <v>79</v>
      </c>
    </row>
    <row r="12" spans="1:9" x14ac:dyDescent="0.25">
      <c r="A12" s="1" t="s">
        <v>17</v>
      </c>
    </row>
    <row r="13" spans="1:9" x14ac:dyDescent="0.25">
      <c r="A13" s="35" t="s">
        <v>32</v>
      </c>
      <c r="B13" s="1" t="s">
        <v>39</v>
      </c>
    </row>
    <row r="14" spans="1:9" x14ac:dyDescent="0.25">
      <c r="A14" s="35" t="s">
        <v>40</v>
      </c>
      <c r="B14" s="1" t="s">
        <v>41</v>
      </c>
    </row>
    <row r="15" spans="1:9" x14ac:dyDescent="0.25">
      <c r="A15" s="36" t="s">
        <v>32</v>
      </c>
      <c r="B15" s="1" t="s">
        <v>18</v>
      </c>
    </row>
    <row r="16" spans="1:9" ht="17.25" x14ac:dyDescent="0.25">
      <c r="A16" s="35"/>
      <c r="B16" s="1" t="s">
        <v>19</v>
      </c>
    </row>
    <row r="17" spans="1:2" x14ac:dyDescent="0.25">
      <c r="A17" s="36" t="s">
        <v>32</v>
      </c>
      <c r="B17" s="1" t="s">
        <v>82</v>
      </c>
    </row>
    <row r="18" spans="1:2" x14ac:dyDescent="0.25">
      <c r="A18" s="35"/>
      <c r="B18" s="1" t="s">
        <v>20</v>
      </c>
    </row>
    <row r="19" spans="1:2" x14ac:dyDescent="0.25">
      <c r="A19" s="36" t="s">
        <v>32</v>
      </c>
      <c r="B19" s="1" t="s">
        <v>21</v>
      </c>
    </row>
    <row r="20" spans="1:2" x14ac:dyDescent="0.25">
      <c r="A20" s="35"/>
      <c r="B20" s="1" t="s">
        <v>22</v>
      </c>
    </row>
    <row r="21" spans="1:2" x14ac:dyDescent="0.25">
      <c r="A21" s="36" t="s">
        <v>32</v>
      </c>
      <c r="B21" s="1" t="s">
        <v>33</v>
      </c>
    </row>
    <row r="22" spans="1:2" x14ac:dyDescent="0.25">
      <c r="A22" s="36" t="s">
        <v>32</v>
      </c>
      <c r="B22" s="1" t="s">
        <v>82</v>
      </c>
    </row>
    <row r="23" spans="1:2" x14ac:dyDescent="0.25">
      <c r="A23" s="35"/>
      <c r="B23" s="1" t="s">
        <v>80</v>
      </c>
    </row>
    <row r="24" spans="1:2" x14ac:dyDescent="0.25">
      <c r="A24" s="35"/>
    </row>
    <row r="25" spans="1:2" x14ac:dyDescent="0.25">
      <c r="A25" s="19" t="s">
        <v>45</v>
      </c>
    </row>
    <row r="26" spans="1:2" x14ac:dyDescent="0.25">
      <c r="A26" s="19" t="s">
        <v>46</v>
      </c>
    </row>
    <row r="27" spans="1:2" x14ac:dyDescent="0.25">
      <c r="A27" s="19" t="s">
        <v>47</v>
      </c>
    </row>
    <row r="29" spans="1:2" x14ac:dyDescent="0.25">
      <c r="A29" s="1" t="s">
        <v>42</v>
      </c>
    </row>
    <row r="30" spans="1:2" x14ac:dyDescent="0.25">
      <c r="A30" s="1" t="s">
        <v>43</v>
      </c>
    </row>
    <row r="31" spans="1:2" x14ac:dyDescent="0.25">
      <c r="A31" s="1" t="s">
        <v>44</v>
      </c>
    </row>
    <row r="33" spans="1:9" x14ac:dyDescent="0.25">
      <c r="A33" s="1" t="s">
        <v>54</v>
      </c>
    </row>
    <row r="34" spans="1:9" x14ac:dyDescent="0.25">
      <c r="A34" s="1" t="s">
        <v>55</v>
      </c>
    </row>
    <row r="35" spans="1:9" x14ac:dyDescent="0.25">
      <c r="A35" s="1" t="s">
        <v>56</v>
      </c>
    </row>
    <row r="37" spans="1:9" x14ac:dyDescent="0.25">
      <c r="A37" s="1" t="s">
        <v>81</v>
      </c>
    </row>
    <row r="38" spans="1:9" x14ac:dyDescent="0.25">
      <c r="A38" s="1" t="s">
        <v>57</v>
      </c>
    </row>
    <row r="39" spans="1:9" x14ac:dyDescent="0.25">
      <c r="A39" s="1" t="s">
        <v>58</v>
      </c>
    </row>
    <row r="41" spans="1:9" x14ac:dyDescent="0.25">
      <c r="A41" s="1" t="s">
        <v>48</v>
      </c>
    </row>
    <row r="42" spans="1:9" x14ac:dyDescent="0.25">
      <c r="A42" s="1" t="s">
        <v>49</v>
      </c>
    </row>
    <row r="43" spans="1:9" x14ac:dyDescent="0.25">
      <c r="A43" s="1" t="s">
        <v>50</v>
      </c>
    </row>
    <row r="44" spans="1:9" s="50" customFormat="1" x14ac:dyDescent="0.25">
      <c r="A44" s="1" t="s">
        <v>51</v>
      </c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 t="s">
        <v>52</v>
      </c>
    </row>
    <row r="46" spans="1:9" x14ac:dyDescent="0.25">
      <c r="A46" s="1" t="s">
        <v>53</v>
      </c>
    </row>
    <row r="48" spans="1:9" x14ac:dyDescent="0.25">
      <c r="A48" s="1" t="s">
        <v>23</v>
      </c>
    </row>
    <row r="49" spans="1:1" x14ac:dyDescent="0.25">
      <c r="A49" s="1" t="s">
        <v>24</v>
      </c>
    </row>
    <row r="50" spans="1:1" x14ac:dyDescent="0.25">
      <c r="A50" s="1" t="s">
        <v>25</v>
      </c>
    </row>
    <row r="51" spans="1:1" x14ac:dyDescent="0.25">
      <c r="A51" s="1" t="s">
        <v>16</v>
      </c>
    </row>
  </sheetData>
  <mergeCells count="4">
    <mergeCell ref="A1:I1"/>
    <mergeCell ref="A2:I2"/>
    <mergeCell ref="A4:I4"/>
    <mergeCell ref="A3:I3"/>
  </mergeCells>
  <pageMargins left="0.75" right="0.75" top="1" bottom="1" header="0.5" footer="0.5"/>
  <pageSetup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/>
  <dimension ref="A1:CL28"/>
  <sheetViews>
    <sheetView showGridLines="0" zoomScaleNormal="100" workbookViewId="0">
      <selection activeCell="B6" sqref="B6"/>
    </sheetView>
  </sheetViews>
  <sheetFormatPr defaultColWidth="9.140625" defaultRowHeight="15" x14ac:dyDescent="0.25"/>
  <cols>
    <col min="1" max="1" width="8" style="4" bestFit="1" customWidth="1"/>
    <col min="2" max="2" width="9.140625" style="4"/>
    <col min="3" max="3" width="7.5703125" style="4" bestFit="1" customWidth="1"/>
    <col min="4" max="4" width="7.5703125" style="55" customWidth="1"/>
    <col min="5" max="5" width="8.140625" style="55" bestFit="1" customWidth="1"/>
    <col min="6" max="6" width="3.42578125" style="55" customWidth="1"/>
    <col min="7" max="7" width="8.85546875" style="4" bestFit="1" customWidth="1"/>
    <col min="8" max="8" width="8.140625" style="4" bestFit="1" customWidth="1"/>
    <col min="9" max="15" width="9.140625" style="4" customWidth="1"/>
    <col min="16" max="16" width="4" style="4" customWidth="1"/>
    <col min="17" max="22" width="9.140625" style="4"/>
    <col min="23" max="25" width="9.140625" style="4" customWidth="1"/>
    <col min="26" max="88" width="9.140625" style="4" hidden="1" customWidth="1"/>
    <col min="89" max="89" width="0" style="4" hidden="1" customWidth="1"/>
    <col min="90" max="16384" width="9.140625" style="4"/>
  </cols>
  <sheetData>
    <row r="1" spans="1:90" x14ac:dyDescent="0.25">
      <c r="E1" s="85" t="s">
        <v>14</v>
      </c>
      <c r="F1" s="86"/>
      <c r="G1" s="86"/>
      <c r="H1" s="86"/>
      <c r="I1" s="86"/>
      <c r="J1" s="86"/>
      <c r="K1" s="86"/>
      <c r="L1" s="86"/>
      <c r="M1" s="86"/>
      <c r="P1" s="82" t="s">
        <v>34</v>
      </c>
      <c r="Q1" s="83"/>
      <c r="R1" s="83"/>
      <c r="S1" s="83"/>
      <c r="T1" s="83"/>
      <c r="U1" s="83"/>
      <c r="V1" s="84"/>
      <c r="CD1" s="77"/>
    </row>
    <row r="2" spans="1:90" x14ac:dyDescent="0.25">
      <c r="A2" s="5" t="s">
        <v>36</v>
      </c>
      <c r="B2" s="64">
        <v>20</v>
      </c>
      <c r="E2" s="78" t="s">
        <v>13</v>
      </c>
      <c r="F2" s="79"/>
      <c r="G2" s="79"/>
      <c r="H2" s="79"/>
      <c r="I2" s="79"/>
      <c r="J2" s="80"/>
      <c r="K2" s="15"/>
      <c r="P2" s="42"/>
      <c r="Q2" s="25"/>
      <c r="R2" s="25"/>
      <c r="S2" s="25"/>
      <c r="T2" s="25"/>
      <c r="U2" s="25"/>
      <c r="V2" s="30"/>
      <c r="CD2" s="77"/>
    </row>
    <row r="3" spans="1:90" x14ac:dyDescent="0.25">
      <c r="A3" s="5" t="s">
        <v>15</v>
      </c>
      <c r="B3" s="65">
        <v>6</v>
      </c>
      <c r="G3" s="13"/>
      <c r="H3" s="16"/>
      <c r="P3" s="26" t="s">
        <v>15</v>
      </c>
      <c r="Q3" s="40">
        <f t="array" aca="1" ref="Q3" ca="1">MMULT(MMULT(TRANSPOSE(Ell),MINVERSE(Cov)),ER)</f>
        <v>7.8635064627570888</v>
      </c>
      <c r="R3" s="25"/>
      <c r="S3" s="38">
        <f ca="1">MAX(ER_P1,ER_P2,ER_P3,ER_P4,ER_P5)</f>
        <v>0.12950938046092306</v>
      </c>
      <c r="T3" s="25"/>
      <c r="U3" s="25"/>
      <c r="V3" s="30"/>
      <c r="CK3" s="14"/>
    </row>
    <row r="4" spans="1:90" ht="18" x14ac:dyDescent="0.35">
      <c r="A4" s="34" t="s">
        <v>12</v>
      </c>
      <c r="B4" s="51">
        <v>0.05</v>
      </c>
      <c r="G4" s="13"/>
      <c r="I4" s="12"/>
      <c r="J4" s="12"/>
      <c r="K4" s="12"/>
      <c r="L4" s="12"/>
      <c r="M4" s="12"/>
      <c r="N4" s="12"/>
      <c r="O4" s="12"/>
      <c r="P4" s="26" t="s">
        <v>26</v>
      </c>
      <c r="Q4" s="40">
        <f t="array" aca="1" ref="Q4" ca="1">MMULT(MMULT(TRANSPOSE(ER),MINVERSE(Cov)),ER)</f>
        <v>0.58795326558392602</v>
      </c>
      <c r="R4" s="25"/>
      <c r="S4" s="39">
        <f ca="1">MIN(ER_P0,ER_P0A)</f>
        <v>6.2102163559467773E-2</v>
      </c>
      <c r="T4" s="25"/>
      <c r="U4" s="25"/>
      <c r="V4" s="30"/>
      <c r="X4" s="12"/>
      <c r="Y4" s="12"/>
      <c r="Z4" s="12"/>
      <c r="AA4" s="12"/>
      <c r="AB4" s="12"/>
      <c r="AJ4" s="12"/>
      <c r="AK4" s="12"/>
      <c r="AL4" s="12"/>
      <c r="AM4" s="12"/>
      <c r="AN4" s="12"/>
      <c r="CK4" s="14"/>
    </row>
    <row r="5" spans="1:90" ht="18" x14ac:dyDescent="0.35">
      <c r="A5" s="5" t="s">
        <v>60</v>
      </c>
      <c r="B5" s="51">
        <v>0.12</v>
      </c>
      <c r="G5" s="13"/>
      <c r="I5" s="12"/>
      <c r="J5" s="12"/>
      <c r="K5" s="12"/>
      <c r="L5" s="12"/>
      <c r="M5" s="12"/>
      <c r="N5" s="12"/>
      <c r="O5" s="12"/>
      <c r="P5" s="26" t="s">
        <v>27</v>
      </c>
      <c r="Q5" s="40">
        <f t="array" aca="1" ref="Q5" ca="1">MMULT(MMULT(TRANSPOSE(Ell),MINVERSE(Cov)),Ell)</f>
        <v>126.91823839392589</v>
      </c>
      <c r="R5" s="25"/>
      <c r="S5" s="39">
        <f ca="1">S4-(S3-S4)</f>
        <v>-5.3050533419875187E-3</v>
      </c>
      <c r="T5" s="25"/>
      <c r="U5" s="25"/>
      <c r="V5" s="30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90" ht="18" x14ac:dyDescent="0.35">
      <c r="A6" s="5" t="s">
        <v>61</v>
      </c>
      <c r="B6" s="51">
        <v>0.2</v>
      </c>
      <c r="P6" s="26" t="s">
        <v>28</v>
      </c>
      <c r="Q6" s="41">
        <f ca="1">Q4*Q5-Q3^2</f>
        <v>12.787258836045439</v>
      </c>
      <c r="R6" s="25"/>
      <c r="S6" s="39">
        <f ca="1">(S3-S5)/19</f>
        <v>7.0954965159426625E-3</v>
      </c>
      <c r="T6" s="25"/>
      <c r="U6" s="25"/>
      <c r="V6" s="30"/>
    </row>
    <row r="7" spans="1:90" ht="18" x14ac:dyDescent="0.35">
      <c r="G7" s="81" t="s">
        <v>8</v>
      </c>
      <c r="H7" s="81"/>
      <c r="P7" s="31"/>
      <c r="Q7" s="25"/>
      <c r="R7" s="25"/>
      <c r="S7" s="25"/>
      <c r="T7" s="25"/>
      <c r="U7" s="76" t="s">
        <v>29</v>
      </c>
      <c r="V7" s="76"/>
      <c r="AA7" s="81" t="s">
        <v>2</v>
      </c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V7" s="81" t="s">
        <v>11</v>
      </c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Q7" s="81" t="s">
        <v>9</v>
      </c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</row>
    <row r="8" spans="1:90" x14ac:dyDescent="0.25">
      <c r="A8" s="67" t="s">
        <v>84</v>
      </c>
      <c r="B8" s="67" t="s">
        <v>83</v>
      </c>
      <c r="C8" s="52" t="s">
        <v>62</v>
      </c>
      <c r="D8" s="52" t="s">
        <v>63</v>
      </c>
      <c r="E8" s="52" t="s">
        <v>64</v>
      </c>
      <c r="G8" s="6" t="s">
        <v>5</v>
      </c>
      <c r="H8" s="6" t="s">
        <v>6</v>
      </c>
      <c r="P8" s="31"/>
      <c r="Q8" s="25"/>
      <c r="R8" s="25"/>
      <c r="S8" s="47" t="s">
        <v>35</v>
      </c>
      <c r="T8" s="25"/>
      <c r="U8" s="27" t="s">
        <v>30</v>
      </c>
      <c r="V8" s="28" t="s">
        <v>31</v>
      </c>
      <c r="X8" s="6" t="s">
        <v>3</v>
      </c>
      <c r="Y8" s="6" t="s">
        <v>1</v>
      </c>
      <c r="AA8" s="6">
        <f t="shared" ref="AA8:AT8" ca="1" si="0">OFFSET($A$8,COLUMN(AA8)-COLUMN($AA$8)+1,0)</f>
        <v>1</v>
      </c>
      <c r="AB8" s="6">
        <f t="shared" ca="1" si="0"/>
        <v>2</v>
      </c>
      <c r="AC8" s="6">
        <f t="shared" ca="1" si="0"/>
        <v>3</v>
      </c>
      <c r="AD8" s="6">
        <f t="shared" ca="1" si="0"/>
        <v>4</v>
      </c>
      <c r="AE8" s="6">
        <f t="shared" ca="1" si="0"/>
        <v>5</v>
      </c>
      <c r="AF8" s="6">
        <f t="shared" ca="1" si="0"/>
        <v>6</v>
      </c>
      <c r="AG8" s="6">
        <f t="shared" ca="1" si="0"/>
        <v>7</v>
      </c>
      <c r="AH8" s="6">
        <f t="shared" ca="1" si="0"/>
        <v>8</v>
      </c>
      <c r="AI8" s="6">
        <f t="shared" ca="1" si="0"/>
        <v>9</v>
      </c>
      <c r="AJ8" s="6">
        <f t="shared" ca="1" si="0"/>
        <v>10</v>
      </c>
      <c r="AK8" s="6">
        <f t="shared" ca="1" si="0"/>
        <v>11</v>
      </c>
      <c r="AL8" s="6">
        <f t="shared" ca="1" si="0"/>
        <v>12</v>
      </c>
      <c r="AM8" s="6">
        <f t="shared" ca="1" si="0"/>
        <v>13</v>
      </c>
      <c r="AN8" s="6">
        <f t="shared" ca="1" si="0"/>
        <v>14</v>
      </c>
      <c r="AO8" s="6">
        <f t="shared" ca="1" si="0"/>
        <v>15</v>
      </c>
      <c r="AP8" s="6">
        <f t="shared" ca="1" si="0"/>
        <v>16</v>
      </c>
      <c r="AQ8" s="6">
        <f t="shared" ca="1" si="0"/>
        <v>17</v>
      </c>
      <c r="AR8" s="6">
        <f t="shared" ca="1" si="0"/>
        <v>18</v>
      </c>
      <c r="AS8" s="6">
        <f t="shared" ca="1" si="0"/>
        <v>19</v>
      </c>
      <c r="AT8" s="6">
        <f t="shared" ca="1" si="0"/>
        <v>20</v>
      </c>
      <c r="AV8" s="6">
        <f t="shared" ref="AV8:BO8" ca="1" si="1">AA8</f>
        <v>1</v>
      </c>
      <c r="AW8" s="6">
        <f t="shared" ca="1" si="1"/>
        <v>2</v>
      </c>
      <c r="AX8" s="6">
        <f t="shared" ca="1" si="1"/>
        <v>3</v>
      </c>
      <c r="AY8" s="6">
        <f t="shared" ca="1" si="1"/>
        <v>4</v>
      </c>
      <c r="AZ8" s="6">
        <f t="shared" ca="1" si="1"/>
        <v>5</v>
      </c>
      <c r="BA8" s="6">
        <f t="shared" ca="1" si="1"/>
        <v>6</v>
      </c>
      <c r="BB8" s="6">
        <f t="shared" ca="1" si="1"/>
        <v>7</v>
      </c>
      <c r="BC8" s="6">
        <f t="shared" ca="1" si="1"/>
        <v>8</v>
      </c>
      <c r="BD8" s="6">
        <f t="shared" ca="1" si="1"/>
        <v>9</v>
      </c>
      <c r="BE8" s="6">
        <f t="shared" ca="1" si="1"/>
        <v>10</v>
      </c>
      <c r="BF8" s="6">
        <f t="shared" ca="1" si="1"/>
        <v>11</v>
      </c>
      <c r="BG8" s="6">
        <f t="shared" ca="1" si="1"/>
        <v>12</v>
      </c>
      <c r="BH8" s="6">
        <f t="shared" ca="1" si="1"/>
        <v>13</v>
      </c>
      <c r="BI8" s="6">
        <f t="shared" ca="1" si="1"/>
        <v>14</v>
      </c>
      <c r="BJ8" s="6">
        <f t="shared" ca="1" si="1"/>
        <v>15</v>
      </c>
      <c r="BK8" s="6">
        <f t="shared" ca="1" si="1"/>
        <v>16</v>
      </c>
      <c r="BL8" s="6">
        <f t="shared" ca="1" si="1"/>
        <v>17</v>
      </c>
      <c r="BM8" s="6">
        <f t="shared" ca="1" si="1"/>
        <v>18</v>
      </c>
      <c r="BN8" s="6">
        <f t="shared" ca="1" si="1"/>
        <v>19</v>
      </c>
      <c r="BO8" s="6">
        <f t="shared" ca="1" si="1"/>
        <v>20</v>
      </c>
      <c r="BQ8" s="6">
        <f t="shared" ref="BQ8:CI8" ca="1" si="2">AV8</f>
        <v>1</v>
      </c>
      <c r="BR8" s="6">
        <f t="shared" ca="1" si="2"/>
        <v>2</v>
      </c>
      <c r="BS8" s="6">
        <f t="shared" ca="1" si="2"/>
        <v>3</v>
      </c>
      <c r="BT8" s="6">
        <f t="shared" ca="1" si="2"/>
        <v>4</v>
      </c>
      <c r="BU8" s="6">
        <f t="shared" ca="1" si="2"/>
        <v>5</v>
      </c>
      <c r="BV8" s="6">
        <f t="shared" ca="1" si="2"/>
        <v>6</v>
      </c>
      <c r="BW8" s="6">
        <f t="shared" ca="1" si="2"/>
        <v>7</v>
      </c>
      <c r="BX8" s="6">
        <f t="shared" ca="1" si="2"/>
        <v>8</v>
      </c>
      <c r="BY8" s="6">
        <f t="shared" ca="1" si="2"/>
        <v>9</v>
      </c>
      <c r="BZ8" s="6">
        <f t="shared" ca="1" si="2"/>
        <v>10</v>
      </c>
      <c r="CA8" s="6">
        <f t="shared" ca="1" si="2"/>
        <v>11</v>
      </c>
      <c r="CB8" s="6">
        <f t="shared" ca="1" si="2"/>
        <v>12</v>
      </c>
      <c r="CC8" s="6">
        <f t="shared" ca="1" si="2"/>
        <v>13</v>
      </c>
      <c r="CD8" s="6">
        <f t="shared" ca="1" si="2"/>
        <v>14</v>
      </c>
      <c r="CE8" s="6">
        <f t="shared" ca="1" si="2"/>
        <v>15</v>
      </c>
      <c r="CF8" s="6">
        <f t="shared" ca="1" si="2"/>
        <v>16</v>
      </c>
      <c r="CG8" s="6">
        <f t="shared" ca="1" si="2"/>
        <v>17</v>
      </c>
      <c r="CH8" s="6">
        <f t="shared" ca="1" si="2"/>
        <v>18</v>
      </c>
      <c r="CI8" s="6">
        <f t="shared" ca="1" si="2"/>
        <v>19</v>
      </c>
      <c r="CJ8" s="6">
        <f ca="1">BO8</f>
        <v>20</v>
      </c>
    </row>
    <row r="9" spans="1:90" x14ac:dyDescent="0.25">
      <c r="A9" s="11">
        <v>1</v>
      </c>
      <c r="B9" s="70" t="s">
        <v>85</v>
      </c>
      <c r="C9" s="69">
        <v>0</v>
      </c>
      <c r="D9" s="68">
        <v>0.6</v>
      </c>
      <c r="E9" s="69">
        <v>0.12</v>
      </c>
      <c r="G9" s="62">
        <v>0</v>
      </c>
      <c r="H9" s="62">
        <v>1</v>
      </c>
      <c r="P9" s="31"/>
      <c r="Q9" s="25"/>
      <c r="R9" s="25"/>
      <c r="S9" s="37">
        <v>1</v>
      </c>
      <c r="T9" s="25"/>
      <c r="U9" s="29">
        <f ca="1">IF(ABS($Q$6)&lt;0.000000001,$X$9,S5)</f>
        <v>-5.3050533419875187E-3</v>
      </c>
      <c r="V9" s="29">
        <f t="shared" ref="V9:V28" ca="1" si="3">IF(ABS($Q$6)&lt;0.00000001,$Y$9,SQRT(($Q$5*U9^2-2*$Q$3*U9+$Q$4)/$Q$6))</f>
        <v>0.22974686611012535</v>
      </c>
      <c r="X9" s="53">
        <f t="shared" ref="X9:X28" si="4">rf+C9+D9*(ER_M-rf)</f>
        <v>9.1999999999999998E-2</v>
      </c>
      <c r="Y9" s="53">
        <f t="shared" ref="Y9:Y28" si="5">SQRT(D9^2*sigma_M^2+E9^2)</f>
        <v>0.16970562748477142</v>
      </c>
      <c r="AA9" s="54">
        <f t="shared" ref="AA9:AJ18" ca="1" si="6">IF($A9=AA$8,1,(OFFSET($D$8,$A9,0)*OFFSET($D$8,AA$8,0)*sigma_M^2)/(OFFSET($Y$8,$A9,0)*OFFSET($Y$8,AA$8,0)))</f>
        <v>1</v>
      </c>
      <c r="AB9" s="54">
        <f t="shared" ca="1" si="6"/>
        <v>0.19425717247145283</v>
      </c>
      <c r="AC9" s="54">
        <f t="shared" ca="1" si="6"/>
        <v>0.51586070417532881</v>
      </c>
      <c r="AD9" s="54">
        <f t="shared" ca="1" si="6"/>
        <v>0.48115158662844348</v>
      </c>
      <c r="AE9" s="54">
        <f t="shared" ca="1" si="6"/>
        <v>0.58171798393200691</v>
      </c>
      <c r="AF9" s="54">
        <f t="shared" ca="1" si="6"/>
        <v>0.64215746969093501</v>
      </c>
      <c r="AG9" s="54">
        <f t="shared" ca="1" si="6"/>
        <v>0.59655875900130451</v>
      </c>
      <c r="AH9" s="54">
        <f t="shared" ca="1" si="6"/>
        <v>0.62806471864510438</v>
      </c>
      <c r="AI9" s="54">
        <f t="shared" ca="1" si="6"/>
        <v>0.37691454144313957</v>
      </c>
      <c r="AJ9" s="54">
        <f t="shared" ca="1" si="6"/>
        <v>0.34259311385245289</v>
      </c>
      <c r="AK9" s="54">
        <f t="shared" ref="AK9:AT18" ca="1" si="7">IF($A9=AK$8,1,(OFFSET($D$8,$A9,0)*OFFSET($D$8,AK$8,0)*sigma_M^2)/(OFFSET($Y$8,$A9,0)*OFFSET($Y$8,AK$8,0)))</f>
        <v>0.48247186175690443</v>
      </c>
      <c r="AL9" s="54">
        <f t="shared" ca="1" si="7"/>
        <v>0.38464552308159067</v>
      </c>
      <c r="AM9" s="54">
        <f t="shared" ca="1" si="7"/>
        <v>0.53556971998601055</v>
      </c>
      <c r="AN9" s="54">
        <f t="shared" ca="1" si="7"/>
        <v>0.38725351620542986</v>
      </c>
      <c r="AO9" s="54">
        <f t="shared" ca="1" si="7"/>
        <v>0.46310582492141272</v>
      </c>
      <c r="AP9" s="54">
        <f t="shared" ca="1" si="7"/>
        <v>0.53752355447507394</v>
      </c>
      <c r="AQ9" s="54">
        <f t="shared" ca="1" si="7"/>
        <v>0.57226164233604404</v>
      </c>
      <c r="AR9" s="54">
        <f t="shared" ca="1" si="7"/>
        <v>0.66357825958924355</v>
      </c>
      <c r="AS9" s="54">
        <f t="shared" ca="1" si="7"/>
        <v>0.49401261372507904</v>
      </c>
      <c r="AT9" s="54">
        <f t="shared" ca="1" si="7"/>
        <v>0.47164181292364277</v>
      </c>
      <c r="AV9" s="8">
        <f t="shared" ref="AV9:BE18" ca="1" si="8">OFFSET($Y$8,AV$8,0)*OFFSET($Y$8,$A9,0)</f>
        <v>2.8800000000000003E-2</v>
      </c>
      <c r="AW9" s="8">
        <f t="shared" ca="1" si="8"/>
        <v>2.4709512338368805E-2</v>
      </c>
      <c r="AX9" s="8">
        <f t="shared" ca="1" si="8"/>
        <v>3.7219349806249982E-2</v>
      </c>
      <c r="AY9" s="8">
        <f t="shared" ca="1" si="8"/>
        <v>3.2422214606655113E-2</v>
      </c>
      <c r="AZ9" s="8">
        <f t="shared" ca="1" si="8"/>
        <v>5.0746239269526171E-2</v>
      </c>
      <c r="BA9" s="8">
        <f t="shared" ca="1" si="8"/>
        <v>5.2697354772322305E-2</v>
      </c>
      <c r="BB9" s="8">
        <f t="shared" ca="1" si="8"/>
        <v>4.4253813395005864E-2</v>
      </c>
      <c r="BC9" s="8">
        <f t="shared" ca="1" si="8"/>
        <v>5.5408302626952954E-2</v>
      </c>
      <c r="BD9" s="8">
        <f t="shared" ca="1" si="8"/>
        <v>4.0115194128908314E-2</v>
      </c>
      <c r="BE9" s="8">
        <f t="shared" ca="1" si="8"/>
        <v>5.0438842175450464E-2</v>
      </c>
      <c r="BF9" s="8">
        <f t="shared" ref="BF9:BO18" ca="1" si="9">OFFSET($Y$8,BF$8,0)*OFFSET($Y$8,$A9,0)</f>
        <v>5.5713093613620132E-2</v>
      </c>
      <c r="BG9" s="8">
        <f t="shared" ca="1" si="9"/>
        <v>5.8651404075264896E-2</v>
      </c>
      <c r="BH9" s="8">
        <f t="shared" ca="1" si="9"/>
        <v>3.8986520747560947E-2</v>
      </c>
      <c r="BI9" s="8">
        <f t="shared" ca="1" si="9"/>
        <v>4.4621931827297664E-2</v>
      </c>
      <c r="BJ9" s="8">
        <f t="shared" ca="1" si="9"/>
        <v>3.3685605234283683E-2</v>
      </c>
      <c r="BK9" s="8">
        <f t="shared" ca="1" si="9"/>
        <v>5.2239571208041138E-2</v>
      </c>
      <c r="BL9" s="8">
        <f t="shared" ca="1" si="9"/>
        <v>5.2004184447023115E-2</v>
      </c>
      <c r="BM9" s="8">
        <f t="shared" ca="1" si="9"/>
        <v>5.8953106788361888E-2</v>
      </c>
      <c r="BN9" s="8">
        <f t="shared" ca="1" si="9"/>
        <v>4.0322857041633353E-2</v>
      </c>
      <c r="BO9" s="8">
        <f t="shared" ca="1" si="9"/>
        <v>4.7832909173496863E-2</v>
      </c>
      <c r="BP9" s="48"/>
      <c r="BQ9" s="8">
        <f t="shared" ref="BQ9:CF24" ca="1" si="10">AA9*AV9</f>
        <v>2.8800000000000003E-2</v>
      </c>
      <c r="BR9" s="8">
        <f t="shared" ca="1" si="10"/>
        <v>4.8000000000000004E-3</v>
      </c>
      <c r="BS9" s="8">
        <f t="shared" ca="1" si="10"/>
        <v>1.9200000000000005E-2</v>
      </c>
      <c r="BT9" s="8">
        <f t="shared" ca="1" si="10"/>
        <v>1.5600000000000003E-2</v>
      </c>
      <c r="BU9" s="8">
        <f t="shared" ca="1" si="10"/>
        <v>2.9520000000000005E-2</v>
      </c>
      <c r="BV9" s="8">
        <f t="shared" ca="1" si="10"/>
        <v>3.3840000000000009E-2</v>
      </c>
      <c r="BW9" s="8">
        <f t="shared" ca="1" si="10"/>
        <v>2.6400000000000003E-2</v>
      </c>
      <c r="BX9" s="8">
        <f t="shared" ca="1" si="10"/>
        <v>3.4800000000000005E-2</v>
      </c>
      <c r="BY9" s="8">
        <f t="shared" ca="1" si="10"/>
        <v>1.5120000000000001E-2</v>
      </c>
      <c r="BZ9" s="8">
        <f t="shared" ca="1" si="10"/>
        <v>1.7280000000000004E-2</v>
      </c>
      <c r="CA9" s="8">
        <f t="shared" ca="1" si="10"/>
        <v>2.6880000000000008E-2</v>
      </c>
      <c r="CB9" s="8">
        <f t="shared" ca="1" si="10"/>
        <v>2.2560000000000004E-2</v>
      </c>
      <c r="CC9" s="8">
        <f t="shared" ca="1" si="10"/>
        <v>2.0880000000000006E-2</v>
      </c>
      <c r="CD9" s="8">
        <f t="shared" ca="1" si="10"/>
        <v>1.7280000000000004E-2</v>
      </c>
      <c r="CE9" s="8">
        <f t="shared" ca="1" si="10"/>
        <v>1.5600000000000003E-2</v>
      </c>
      <c r="CF9" s="8">
        <f t="shared" ca="1" si="10"/>
        <v>2.8080000000000004E-2</v>
      </c>
      <c r="CG9" s="8">
        <f t="shared" ref="CG9:CJ28" ca="1" si="11">AQ9*BL9</f>
        <v>2.9760000000000005E-2</v>
      </c>
      <c r="CH9" s="8">
        <f t="shared" ca="1" si="11"/>
        <v>3.9120000000000002E-2</v>
      </c>
      <c r="CI9" s="8">
        <f t="shared" ca="1" si="11"/>
        <v>1.992E-2</v>
      </c>
      <c r="CJ9" s="8">
        <f t="shared" ca="1" si="11"/>
        <v>2.2560000000000004E-2</v>
      </c>
      <c r="CL9" s="48"/>
    </row>
    <row r="10" spans="1:90" x14ac:dyDescent="0.25">
      <c r="A10" s="11">
        <v>2</v>
      </c>
      <c r="B10" s="70" t="s">
        <v>86</v>
      </c>
      <c r="C10" s="69">
        <v>0</v>
      </c>
      <c r="D10" s="68">
        <v>0.2</v>
      </c>
      <c r="E10" s="69">
        <v>0.14000000000000001</v>
      </c>
      <c r="G10" s="62">
        <v>0</v>
      </c>
      <c r="H10" s="62">
        <v>1</v>
      </c>
      <c r="P10" s="31"/>
      <c r="Q10" s="25"/>
      <c r="R10" s="25"/>
      <c r="S10" s="37">
        <v>1</v>
      </c>
      <c r="T10" s="25"/>
      <c r="U10" s="29">
        <f t="shared" ref="U10:U28" ca="1" si="12">IF(ABS($Q$6)&lt;0.000000001,$X$9,U9+$S$6)</f>
        <v>1.7904431739551438E-3</v>
      </c>
      <c r="V10" s="29">
        <f t="shared" ca="1" si="3"/>
        <v>0.20930688914096562</v>
      </c>
      <c r="X10" s="53">
        <f t="shared" si="4"/>
        <v>6.4000000000000001E-2</v>
      </c>
      <c r="Y10" s="53">
        <f t="shared" si="5"/>
        <v>0.14560219778561037</v>
      </c>
      <c r="AA10" s="54">
        <f t="shared" ca="1" si="6"/>
        <v>0.19425717247145283</v>
      </c>
      <c r="AB10" s="54">
        <f t="shared" ca="1" si="6"/>
        <v>1</v>
      </c>
      <c r="AC10" s="54">
        <f t="shared" ca="1" si="6"/>
        <v>0.20041928356446398</v>
      </c>
      <c r="AD10" s="54">
        <f t="shared" ca="1" si="6"/>
        <v>0.18693429349718946</v>
      </c>
      <c r="AE10" s="54">
        <f t="shared" ca="1" si="6"/>
        <v>0.22600578146885136</v>
      </c>
      <c r="AF10" s="54">
        <f t="shared" ca="1" si="6"/>
        <v>0.24948738868716736</v>
      </c>
      <c r="AG10" s="54">
        <f t="shared" ca="1" si="6"/>
        <v>0.23177163547334453</v>
      </c>
      <c r="AH10" s="54">
        <f t="shared" ca="1" si="6"/>
        <v>0.24401215274615307</v>
      </c>
      <c r="AI10" s="54">
        <f t="shared" ca="1" si="6"/>
        <v>0.14643670616823706</v>
      </c>
      <c r="AJ10" s="54">
        <f t="shared" ca="1" si="6"/>
        <v>0.13310233921033604</v>
      </c>
      <c r="AK10" s="54">
        <f t="shared" ca="1" si="7"/>
        <v>0.18744723932386786</v>
      </c>
      <c r="AL10" s="54">
        <f t="shared" ca="1" si="7"/>
        <v>0.14944030343526551</v>
      </c>
      <c r="AM10" s="54">
        <f t="shared" ca="1" si="7"/>
        <v>0.20807651893162027</v>
      </c>
      <c r="AN10" s="54">
        <f t="shared" ca="1" si="7"/>
        <v>0.15045354617538947</v>
      </c>
      <c r="AO10" s="54">
        <f t="shared" ca="1" si="7"/>
        <v>0.17992325620858662</v>
      </c>
      <c r="AP10" s="54">
        <f t="shared" ca="1" si="7"/>
        <v>0.20883561165826564</v>
      </c>
      <c r="AQ10" s="54">
        <f t="shared" ca="1" si="7"/>
        <v>0.22233185710813952</v>
      </c>
      <c r="AR10" s="54">
        <f t="shared" ca="1" si="7"/>
        <v>0.25780967284266842</v>
      </c>
      <c r="AS10" s="54">
        <f t="shared" ca="1" si="7"/>
        <v>0.19193098701493183</v>
      </c>
      <c r="AT10" s="54">
        <f t="shared" ca="1" si="7"/>
        <v>0.18323960999571354</v>
      </c>
      <c r="AV10" s="8">
        <f t="shared" ca="1" si="8"/>
        <v>2.4709512338368805E-2</v>
      </c>
      <c r="AW10" s="8">
        <f t="shared" ca="1" si="8"/>
        <v>2.12E-2</v>
      </c>
      <c r="AX10" s="8">
        <f t="shared" ca="1" si="8"/>
        <v>3.1933054974430497E-2</v>
      </c>
      <c r="AY10" s="8">
        <f t="shared" ca="1" si="8"/>
        <v>2.7817260828485617E-2</v>
      </c>
      <c r="AZ10" s="8">
        <f t="shared" ca="1" si="8"/>
        <v>4.3538709213755987E-2</v>
      </c>
      <c r="BA10" s="8">
        <f t="shared" ca="1" si="8"/>
        <v>4.5212706178683892E-2</v>
      </c>
      <c r="BB10" s="8">
        <f t="shared" ca="1" si="8"/>
        <v>3.7968407920269724E-2</v>
      </c>
      <c r="BC10" s="8">
        <f t="shared" ca="1" si="8"/>
        <v>4.7538615882248836E-2</v>
      </c>
      <c r="BD10" s="8">
        <f t="shared" ca="1" si="8"/>
        <v>3.44176001487611E-2</v>
      </c>
      <c r="BE10" s="8">
        <f t="shared" ca="1" si="8"/>
        <v>4.3274971981504505E-2</v>
      </c>
      <c r="BF10" s="8">
        <f t="shared" ca="1" si="9"/>
        <v>4.7800117154668149E-2</v>
      </c>
      <c r="BG10" s="8">
        <f t="shared" ca="1" si="9"/>
        <v>5.0321096967375419E-2</v>
      </c>
      <c r="BH10" s="8">
        <f t="shared" ca="1" si="9"/>
        <v>3.3449233175066963E-2</v>
      </c>
      <c r="BI10" s="8">
        <f t="shared" ca="1" si="9"/>
        <v>3.8284242189182749E-2</v>
      </c>
      <c r="BJ10" s="8">
        <f t="shared" ca="1" si="9"/>
        <v>2.8901211047290046E-2</v>
      </c>
      <c r="BK10" s="8">
        <f t="shared" ca="1" si="9"/>
        <v>4.4819941990145419E-2</v>
      </c>
      <c r="BL10" s="8">
        <f t="shared" ca="1" si="9"/>
        <v>4.4617987404184878E-2</v>
      </c>
      <c r="BM10" s="8">
        <f t="shared" ca="1" si="9"/>
        <v>5.0579948596257002E-2</v>
      </c>
      <c r="BN10" s="8">
        <f t="shared" ca="1" si="9"/>
        <v>3.4595768527379188E-2</v>
      </c>
      <c r="BO10" s="8">
        <f t="shared" ca="1" si="9"/>
        <v>4.1039161784812324E-2</v>
      </c>
      <c r="BP10" s="48"/>
      <c r="BQ10" s="8">
        <f t="shared" ca="1" si="10"/>
        <v>4.8000000000000004E-3</v>
      </c>
      <c r="BR10" s="8">
        <f t="shared" ca="1" si="10"/>
        <v>2.12E-2</v>
      </c>
      <c r="BS10" s="8">
        <f t="shared" ca="1" si="10"/>
        <v>6.4000000000000029E-3</v>
      </c>
      <c r="BT10" s="8">
        <f t="shared" ca="1" si="10"/>
        <v>5.2000000000000015E-3</v>
      </c>
      <c r="BU10" s="8">
        <f t="shared" ca="1" si="10"/>
        <v>9.8400000000000015E-3</v>
      </c>
      <c r="BV10" s="8">
        <f t="shared" ca="1" si="10"/>
        <v>1.1280000000000002E-2</v>
      </c>
      <c r="BW10" s="8">
        <f t="shared" ca="1" si="10"/>
        <v>8.8000000000000023E-3</v>
      </c>
      <c r="BX10" s="8">
        <f t="shared" ca="1" si="10"/>
        <v>1.1600000000000001E-2</v>
      </c>
      <c r="BY10" s="8">
        <f t="shared" ca="1" si="10"/>
        <v>5.0400000000000011E-3</v>
      </c>
      <c r="BZ10" s="8">
        <f t="shared" ca="1" si="10"/>
        <v>5.7600000000000004E-3</v>
      </c>
      <c r="CA10" s="8">
        <f t="shared" ca="1" si="10"/>
        <v>8.9600000000000027E-3</v>
      </c>
      <c r="CB10" s="8">
        <f t="shared" ca="1" si="10"/>
        <v>7.5200000000000015E-3</v>
      </c>
      <c r="CC10" s="8">
        <f t="shared" ca="1" si="10"/>
        <v>6.9600000000000018E-3</v>
      </c>
      <c r="CD10" s="8">
        <f t="shared" ca="1" si="10"/>
        <v>5.7600000000000004E-3</v>
      </c>
      <c r="CE10" s="8">
        <f t="shared" ca="1" si="10"/>
        <v>5.2000000000000015E-3</v>
      </c>
      <c r="CF10" s="8">
        <f t="shared" ca="1" si="10"/>
        <v>9.360000000000002E-3</v>
      </c>
      <c r="CG10" s="8">
        <f t="shared" ca="1" si="11"/>
        <v>9.9200000000000017E-3</v>
      </c>
      <c r="CH10" s="8">
        <f t="shared" ca="1" si="11"/>
        <v>1.3040000000000003E-2</v>
      </c>
      <c r="CI10" s="8">
        <f t="shared" ca="1" si="11"/>
        <v>6.6400000000000018E-3</v>
      </c>
      <c r="CJ10" s="8">
        <f t="shared" ca="1" si="11"/>
        <v>7.5200000000000015E-3</v>
      </c>
      <c r="CL10" s="48"/>
    </row>
    <row r="11" spans="1:90" x14ac:dyDescent="0.25">
      <c r="A11" s="11">
        <v>3</v>
      </c>
      <c r="B11" s="70" t="s">
        <v>87</v>
      </c>
      <c r="C11" s="69">
        <v>0</v>
      </c>
      <c r="D11" s="68">
        <v>0.8</v>
      </c>
      <c r="E11" s="69">
        <v>0.15</v>
      </c>
      <c r="G11" s="62">
        <v>0</v>
      </c>
      <c r="H11" s="62">
        <v>1</v>
      </c>
      <c r="P11" s="31"/>
      <c r="Q11" s="25"/>
      <c r="R11" s="25"/>
      <c r="S11" s="37">
        <v>1</v>
      </c>
      <c r="T11" s="25"/>
      <c r="U11" s="29">
        <f t="shared" ca="1" si="12"/>
        <v>8.8859396898978062E-3</v>
      </c>
      <c r="V11" s="29">
        <f t="shared" ca="1" si="3"/>
        <v>0.18930011005767869</v>
      </c>
      <c r="X11" s="53">
        <f t="shared" si="4"/>
        <v>0.106</v>
      </c>
      <c r="Y11" s="53">
        <f t="shared" si="5"/>
        <v>0.21931712199461312</v>
      </c>
      <c r="AA11" s="54">
        <f t="shared" ca="1" si="6"/>
        <v>0.51586070417532881</v>
      </c>
      <c r="AB11" s="54">
        <f t="shared" ca="1" si="6"/>
        <v>0.20041928356446398</v>
      </c>
      <c r="AC11" s="54">
        <f t="shared" ca="1" si="6"/>
        <v>1</v>
      </c>
      <c r="AD11" s="54">
        <f t="shared" ca="1" si="6"/>
        <v>0.49641439258645115</v>
      </c>
      <c r="AE11" s="54">
        <f t="shared" ca="1" si="6"/>
        <v>0.60017089764523535</v>
      </c>
      <c r="AF11" s="54">
        <f t="shared" ca="1" si="6"/>
        <v>0.66252760901242602</v>
      </c>
      <c r="AG11" s="54">
        <f t="shared" ca="1" si="6"/>
        <v>0.61548244300074639</v>
      </c>
      <c r="AH11" s="54">
        <f t="shared" ca="1" si="6"/>
        <v>0.64798781605588651</v>
      </c>
      <c r="AI11" s="54">
        <f t="shared" ca="1" si="6"/>
        <v>0.38887080152555825</v>
      </c>
      <c r="AJ11" s="54">
        <f t="shared" ca="1" si="6"/>
        <v>0.35346064991508985</v>
      </c>
      <c r="AK11" s="54">
        <f t="shared" ca="1" si="7"/>
        <v>0.4977765487013972</v>
      </c>
      <c r="AL11" s="54">
        <f t="shared" ca="1" si="7"/>
        <v>0.39684702078951406</v>
      </c>
      <c r="AM11" s="54">
        <f t="shared" ca="1" si="7"/>
        <v>0.55255874577393405</v>
      </c>
      <c r="AN11" s="54">
        <f t="shared" ca="1" si="7"/>
        <v>0.39953774312821022</v>
      </c>
      <c r="AO11" s="54">
        <f t="shared" ca="1" si="7"/>
        <v>0.47779619390331302</v>
      </c>
      <c r="AP11" s="54">
        <f t="shared" ca="1" si="7"/>
        <v>0.55457455864467475</v>
      </c>
      <c r="AQ11" s="54">
        <f t="shared" ca="1" si="7"/>
        <v>0.59041458757600374</v>
      </c>
      <c r="AR11" s="54">
        <f t="shared" ca="1" si="7"/>
        <v>0.68462789653429279</v>
      </c>
      <c r="AS11" s="54">
        <f t="shared" ca="1" si="7"/>
        <v>0.50968338957542803</v>
      </c>
      <c r="AT11" s="54">
        <f t="shared" ca="1" si="7"/>
        <v>0.48660295546663812</v>
      </c>
      <c r="AV11" s="8">
        <f t="shared" ca="1" si="8"/>
        <v>3.7219349806249982E-2</v>
      </c>
      <c r="AW11" s="8">
        <f t="shared" ca="1" si="8"/>
        <v>3.1933054974430497E-2</v>
      </c>
      <c r="AX11" s="8">
        <f t="shared" ca="1" si="8"/>
        <v>4.8100000000000011E-2</v>
      </c>
      <c r="AY11" s="8">
        <f t="shared" ca="1" si="8"/>
        <v>4.1900477324250146E-2</v>
      </c>
      <c r="AZ11" s="8">
        <f t="shared" ca="1" si="8"/>
        <v>6.5581320511255342E-2</v>
      </c>
      <c r="BA11" s="8">
        <f t="shared" ca="1" si="8"/>
        <v>6.8102822261636137E-2</v>
      </c>
      <c r="BB11" s="8">
        <f t="shared" ca="1" si="8"/>
        <v>5.7190908368376189E-2</v>
      </c>
      <c r="BC11" s="8">
        <f t="shared" ca="1" si="8"/>
        <v>7.1606284640386167E-2</v>
      </c>
      <c r="BD11" s="8">
        <f t="shared" ca="1" si="8"/>
        <v>5.1842411209356391E-2</v>
      </c>
      <c r="BE11" s="8">
        <f t="shared" ca="1" si="8"/>
        <v>6.5184059401052957E-2</v>
      </c>
      <c r="BF11" s="8">
        <f t="shared" ca="1" si="9"/>
        <v>7.2000177777558308E-2</v>
      </c>
      <c r="BG11" s="8">
        <f t="shared" ca="1" si="9"/>
        <v>7.5797469614756932E-2</v>
      </c>
      <c r="BH11" s="8">
        <f t="shared" ca="1" si="9"/>
        <v>5.0383783105281021E-2</v>
      </c>
      <c r="BI11" s="8">
        <f t="shared" ca="1" si="9"/>
        <v>5.7666642003848301E-2</v>
      </c>
      <c r="BJ11" s="8">
        <f t="shared" ca="1" si="9"/>
        <v>4.3533205717015612E-2</v>
      </c>
      <c r="BK11" s="8">
        <f t="shared" ca="1" si="9"/>
        <v>6.7511210920853743E-2</v>
      </c>
      <c r="BL11" s="8">
        <f t="shared" ca="1" si="9"/>
        <v>6.7207011538975611E-2</v>
      </c>
      <c r="BM11" s="8">
        <f t="shared" ca="1" si="9"/>
        <v>7.6187371656987884E-2</v>
      </c>
      <c r="BN11" s="8">
        <f t="shared" ca="1" si="9"/>
        <v>5.2110781993748675E-2</v>
      </c>
      <c r="BO11" s="8">
        <f t="shared" ca="1" si="9"/>
        <v>6.1816311763158445E-2</v>
      </c>
      <c r="BP11" s="48"/>
      <c r="BQ11" s="8">
        <f t="shared" ca="1" si="10"/>
        <v>1.9200000000000005E-2</v>
      </c>
      <c r="BR11" s="8">
        <f t="shared" ca="1" si="10"/>
        <v>6.4000000000000029E-3</v>
      </c>
      <c r="BS11" s="8">
        <f t="shared" ca="1" si="10"/>
        <v>4.8100000000000011E-2</v>
      </c>
      <c r="BT11" s="8">
        <f t="shared" ca="1" si="10"/>
        <v>2.0800000000000006E-2</v>
      </c>
      <c r="BU11" s="8">
        <f t="shared" ca="1" si="10"/>
        <v>3.9360000000000006E-2</v>
      </c>
      <c r="BV11" s="8">
        <f t="shared" ca="1" si="10"/>
        <v>4.5120000000000007E-2</v>
      </c>
      <c r="BW11" s="8">
        <f t="shared" ca="1" si="10"/>
        <v>3.5200000000000009E-2</v>
      </c>
      <c r="BX11" s="8">
        <f t="shared" ca="1" si="10"/>
        <v>4.6400000000000004E-2</v>
      </c>
      <c r="BY11" s="8">
        <f t="shared" ca="1" si="10"/>
        <v>2.0160000000000004E-2</v>
      </c>
      <c r="BZ11" s="8">
        <f t="shared" ca="1" si="10"/>
        <v>2.3040000000000001E-2</v>
      </c>
      <c r="CA11" s="8">
        <f t="shared" ca="1" si="10"/>
        <v>3.5840000000000011E-2</v>
      </c>
      <c r="CB11" s="8">
        <f t="shared" ca="1" si="10"/>
        <v>3.0080000000000006E-2</v>
      </c>
      <c r="CC11" s="8">
        <f t="shared" ca="1" si="10"/>
        <v>2.7840000000000011E-2</v>
      </c>
      <c r="CD11" s="8">
        <f t="shared" ca="1" si="10"/>
        <v>2.3040000000000001E-2</v>
      </c>
      <c r="CE11" s="8">
        <f t="shared" ca="1" si="10"/>
        <v>2.0800000000000006E-2</v>
      </c>
      <c r="CF11" s="8">
        <f t="shared" ca="1" si="10"/>
        <v>3.7440000000000008E-2</v>
      </c>
      <c r="CG11" s="8">
        <f t="shared" ca="1" si="11"/>
        <v>3.9680000000000007E-2</v>
      </c>
      <c r="CH11" s="8">
        <f t="shared" ca="1" si="11"/>
        <v>5.2160000000000012E-2</v>
      </c>
      <c r="CI11" s="8">
        <f t="shared" ca="1" si="11"/>
        <v>2.6560000000000007E-2</v>
      </c>
      <c r="CJ11" s="8">
        <f t="shared" ca="1" si="11"/>
        <v>3.0080000000000006E-2</v>
      </c>
      <c r="CL11" s="48"/>
    </row>
    <row r="12" spans="1:90" x14ac:dyDescent="0.25">
      <c r="A12" s="11">
        <v>4</v>
      </c>
      <c r="B12" s="70" t="s">
        <v>88</v>
      </c>
      <c r="C12" s="69">
        <v>0</v>
      </c>
      <c r="D12" s="68">
        <v>0.65</v>
      </c>
      <c r="E12" s="69">
        <v>0.14000000000000001</v>
      </c>
      <c r="G12" s="62">
        <v>0</v>
      </c>
      <c r="H12" s="62">
        <v>1</v>
      </c>
      <c r="P12" s="31"/>
      <c r="Q12" s="25"/>
      <c r="R12" s="25"/>
      <c r="S12" s="37">
        <v>1</v>
      </c>
      <c r="T12" s="25"/>
      <c r="U12" s="29">
        <f t="shared" ca="1" si="12"/>
        <v>1.5981436205840468E-2</v>
      </c>
      <c r="V12" s="29">
        <f t="shared" ca="1" si="3"/>
        <v>0.16987965141642553</v>
      </c>
      <c r="X12" s="53">
        <f t="shared" si="4"/>
        <v>9.5500000000000002E-2</v>
      </c>
      <c r="Y12" s="53">
        <f t="shared" si="5"/>
        <v>0.19104973174542803</v>
      </c>
      <c r="AA12" s="54">
        <f t="shared" ca="1" si="6"/>
        <v>0.48115158662844348</v>
      </c>
      <c r="AB12" s="54">
        <f t="shared" ca="1" si="6"/>
        <v>0.18693429349718946</v>
      </c>
      <c r="AC12" s="54">
        <f t="shared" ca="1" si="6"/>
        <v>0.49641439258645115</v>
      </c>
      <c r="AD12" s="54">
        <f t="shared" ca="1" si="6"/>
        <v>1</v>
      </c>
      <c r="AE12" s="54">
        <f t="shared" ca="1" si="6"/>
        <v>0.55978906187836897</v>
      </c>
      <c r="AF12" s="54">
        <f t="shared" ca="1" si="6"/>
        <v>0.61795017081419978</v>
      </c>
      <c r="AG12" s="54">
        <f t="shared" ca="1" si="6"/>
        <v>0.57407038682114575</v>
      </c>
      <c r="AH12" s="54">
        <f t="shared" ca="1" si="6"/>
        <v>0.60438867176287769</v>
      </c>
      <c r="AI12" s="54">
        <f t="shared" ca="1" si="6"/>
        <v>0.36270605927739763</v>
      </c>
      <c r="AJ12" s="54">
        <f t="shared" ca="1" si="6"/>
        <v>0.32967844059617335</v>
      </c>
      <c r="AK12" s="54">
        <f t="shared" ca="1" si="7"/>
        <v>0.46428420357582717</v>
      </c>
      <c r="AL12" s="54">
        <f t="shared" ca="1" si="7"/>
        <v>0.37014560744046976</v>
      </c>
      <c r="AM12" s="54">
        <f t="shared" ca="1" si="7"/>
        <v>0.51538044104284009</v>
      </c>
      <c r="AN12" s="54">
        <f t="shared" ca="1" si="7"/>
        <v>0.37265528749937238</v>
      </c>
      <c r="AO12" s="54">
        <f t="shared" ca="1" si="7"/>
        <v>0.44564820487562373</v>
      </c>
      <c r="AP12" s="54">
        <f t="shared" ca="1" si="7"/>
        <v>0.51726062217168467</v>
      </c>
      <c r="AQ12" s="54">
        <f t="shared" ca="1" si="7"/>
        <v>0.55068919435317287</v>
      </c>
      <c r="AR12" s="54">
        <f t="shared" ca="1" si="7"/>
        <v>0.63856346490701121</v>
      </c>
      <c r="AS12" s="54">
        <f t="shared" ca="1" si="7"/>
        <v>0.47538990581657226</v>
      </c>
      <c r="AT12" s="54">
        <f t="shared" ca="1" si="7"/>
        <v>0.4538624132170524</v>
      </c>
      <c r="AV12" s="8">
        <f t="shared" ca="1" si="8"/>
        <v>3.2422214606655113E-2</v>
      </c>
      <c r="AW12" s="8">
        <f t="shared" ca="1" si="8"/>
        <v>2.7817260828485617E-2</v>
      </c>
      <c r="AX12" s="8">
        <f t="shared" ca="1" si="8"/>
        <v>4.1900477324250146E-2</v>
      </c>
      <c r="AY12" s="8">
        <f t="shared" ca="1" si="8"/>
        <v>3.6500000000000012E-2</v>
      </c>
      <c r="AZ12" s="8">
        <f t="shared" ca="1" si="8"/>
        <v>5.7128661808237738E-2</v>
      </c>
      <c r="BA12" s="8">
        <f t="shared" ca="1" si="8"/>
        <v>5.9325171723308152E-2</v>
      </c>
      <c r="BB12" s="8">
        <f t="shared" ca="1" si="8"/>
        <v>4.9819674828324612E-2</v>
      </c>
      <c r="BC12" s="8">
        <f t="shared" ca="1" si="8"/>
        <v>6.2377079123665309E-2</v>
      </c>
      <c r="BD12" s="8">
        <f t="shared" ca="1" si="8"/>
        <v>4.5160535869274189E-2</v>
      </c>
      <c r="BE12" s="8">
        <f t="shared" ca="1" si="8"/>
        <v>5.6782602969571591E-2</v>
      </c>
      <c r="BF12" s="8">
        <f t="shared" ca="1" si="9"/>
        <v>6.2720204081300635E-2</v>
      </c>
      <c r="BG12" s="8">
        <f t="shared" ca="1" si="9"/>
        <v>6.6028069788537661E-2</v>
      </c>
      <c r="BH12" s="8">
        <f t="shared" ca="1" si="9"/>
        <v>4.3889907723758101E-2</v>
      </c>
      <c r="BI12" s="8">
        <f t="shared" ca="1" si="9"/>
        <v>5.0234092009311775E-2</v>
      </c>
      <c r="BJ12" s="8">
        <f t="shared" ca="1" si="9"/>
        <v>3.7922288960451751E-2</v>
      </c>
      <c r="BK12" s="8">
        <f t="shared" ca="1" si="9"/>
        <v>5.8809812106484421E-2</v>
      </c>
      <c r="BL12" s="8">
        <f t="shared" ca="1" si="9"/>
        <v>5.8544820436995118E-2</v>
      </c>
      <c r="BM12" s="8">
        <f t="shared" ca="1" si="9"/>
        <v>6.6367718056296029E-2</v>
      </c>
      <c r="BN12" s="8">
        <f t="shared" ca="1" si="9"/>
        <v>4.5394316824906626E-2</v>
      </c>
      <c r="BO12" s="8">
        <f t="shared" ca="1" si="9"/>
        <v>5.3848918280686019E-2</v>
      </c>
      <c r="BP12" s="48"/>
      <c r="BQ12" s="8">
        <f t="shared" ca="1" si="10"/>
        <v>1.5600000000000003E-2</v>
      </c>
      <c r="BR12" s="8">
        <f t="shared" ca="1" si="10"/>
        <v>5.2000000000000015E-3</v>
      </c>
      <c r="BS12" s="8">
        <f t="shared" ca="1" si="10"/>
        <v>2.0800000000000006E-2</v>
      </c>
      <c r="BT12" s="8">
        <f t="shared" ca="1" si="10"/>
        <v>3.6500000000000012E-2</v>
      </c>
      <c r="BU12" s="8">
        <f t="shared" ca="1" si="10"/>
        <v>3.1980000000000008E-2</v>
      </c>
      <c r="BV12" s="8">
        <f t="shared" ca="1" si="10"/>
        <v>3.6660000000000005E-2</v>
      </c>
      <c r="BW12" s="8">
        <f t="shared" ca="1" si="10"/>
        <v>2.8600000000000007E-2</v>
      </c>
      <c r="BX12" s="8">
        <f t="shared" ca="1" si="10"/>
        <v>3.7700000000000004E-2</v>
      </c>
      <c r="BY12" s="8">
        <f t="shared" ca="1" si="10"/>
        <v>1.6380000000000006E-2</v>
      </c>
      <c r="BZ12" s="8">
        <f t="shared" ca="1" si="10"/>
        <v>1.8720000000000004E-2</v>
      </c>
      <c r="CA12" s="8">
        <f t="shared" ca="1" si="10"/>
        <v>2.912000000000001E-2</v>
      </c>
      <c r="CB12" s="8">
        <f t="shared" ca="1" si="10"/>
        <v>2.4440000000000003E-2</v>
      </c>
      <c r="CC12" s="8">
        <f t="shared" ca="1" si="10"/>
        <v>2.2620000000000005E-2</v>
      </c>
      <c r="CD12" s="8">
        <f t="shared" ca="1" si="10"/>
        <v>1.8720000000000004E-2</v>
      </c>
      <c r="CE12" s="8">
        <f t="shared" ca="1" si="10"/>
        <v>1.6900000000000005E-2</v>
      </c>
      <c r="CF12" s="8">
        <f t="shared" ca="1" si="10"/>
        <v>3.0420000000000006E-2</v>
      </c>
      <c r="CG12" s="8">
        <f t="shared" ca="1" si="11"/>
        <v>3.2240000000000012E-2</v>
      </c>
      <c r="CH12" s="8">
        <f t="shared" ca="1" si="11"/>
        <v>4.2380000000000001E-2</v>
      </c>
      <c r="CI12" s="8">
        <f t="shared" ca="1" si="11"/>
        <v>2.1580000000000002E-2</v>
      </c>
      <c r="CJ12" s="8">
        <f t="shared" ca="1" si="11"/>
        <v>2.4440000000000003E-2</v>
      </c>
      <c r="CL12" s="48"/>
    </row>
    <row r="13" spans="1:90" x14ac:dyDescent="0.25">
      <c r="A13" s="11">
        <v>5</v>
      </c>
      <c r="B13" s="70" t="s">
        <v>89</v>
      </c>
      <c r="C13" s="69">
        <v>0</v>
      </c>
      <c r="D13" s="68">
        <v>1.23</v>
      </c>
      <c r="E13" s="69">
        <v>0.17</v>
      </c>
      <c r="G13" s="62">
        <v>0</v>
      </c>
      <c r="H13" s="62">
        <v>1</v>
      </c>
      <c r="P13" s="31"/>
      <c r="Q13" s="25"/>
      <c r="R13" s="25"/>
      <c r="S13" s="37">
        <v>1</v>
      </c>
      <c r="T13" s="25"/>
      <c r="U13" s="29">
        <f t="shared" ca="1" si="12"/>
        <v>2.3076932721783131E-2</v>
      </c>
      <c r="V13" s="29">
        <f t="shared" ca="1" si="3"/>
        <v>0.15127150007327692</v>
      </c>
      <c r="X13" s="53">
        <f t="shared" si="4"/>
        <v>0.1361</v>
      </c>
      <c r="Y13" s="53">
        <f t="shared" si="5"/>
        <v>0.29902508255997523</v>
      </c>
      <c r="AA13" s="54">
        <f t="shared" ca="1" si="6"/>
        <v>0.58171798393200691</v>
      </c>
      <c r="AB13" s="54">
        <f t="shared" ca="1" si="6"/>
        <v>0.22600578146885136</v>
      </c>
      <c r="AC13" s="54">
        <f t="shared" ca="1" si="6"/>
        <v>0.60017089764523535</v>
      </c>
      <c r="AD13" s="54">
        <f t="shared" ca="1" si="6"/>
        <v>0.55978906187836897</v>
      </c>
      <c r="AE13" s="54">
        <f t="shared" ca="1" si="6"/>
        <v>1</v>
      </c>
      <c r="AF13" s="54">
        <f t="shared" ca="1" si="6"/>
        <v>0.74710909727097896</v>
      </c>
      <c r="AG13" s="54">
        <f t="shared" ca="1" si="6"/>
        <v>0.69405791716643761</v>
      </c>
      <c r="AH13" s="54">
        <f t="shared" ca="1" si="6"/>
        <v>0.73071308381810651</v>
      </c>
      <c r="AI13" s="54">
        <f t="shared" ca="1" si="6"/>
        <v>0.43851593432592001</v>
      </c>
      <c r="AJ13" s="54">
        <f t="shared" ca="1" si="6"/>
        <v>0.39858515099847475</v>
      </c>
      <c r="AK13" s="54">
        <f t="shared" ca="1" si="7"/>
        <v>0.56132511745029667</v>
      </c>
      <c r="AL13" s="54">
        <f t="shared" ca="1" si="7"/>
        <v>0.44751043643099025</v>
      </c>
      <c r="AM13" s="54">
        <f t="shared" ca="1" si="7"/>
        <v>0.62310107553058292</v>
      </c>
      <c r="AN13" s="54">
        <f t="shared" ca="1" si="7"/>
        <v>0.45054466943520677</v>
      </c>
      <c r="AO13" s="54">
        <f t="shared" ca="1" si="7"/>
        <v>0.53879397364090631</v>
      </c>
      <c r="AP13" s="54">
        <f t="shared" ca="1" si="7"/>
        <v>0.62537423685041238</v>
      </c>
      <c r="AQ13" s="54">
        <f t="shared" ca="1" si="7"/>
        <v>0.66578977772268544</v>
      </c>
      <c r="AR13" s="54">
        <f t="shared" ca="1" si="7"/>
        <v>0.77203081469872925</v>
      </c>
      <c r="AS13" s="54">
        <f t="shared" ca="1" si="7"/>
        <v>0.57475204338626851</v>
      </c>
      <c r="AT13" s="54">
        <f t="shared" ca="1" si="7"/>
        <v>0.54872504910395636</v>
      </c>
      <c r="AV13" s="8">
        <f t="shared" ca="1" si="8"/>
        <v>5.0746239269526171E-2</v>
      </c>
      <c r="AW13" s="8">
        <f t="shared" ca="1" si="8"/>
        <v>4.3538709213755987E-2</v>
      </c>
      <c r="AX13" s="8">
        <f t="shared" ca="1" si="8"/>
        <v>6.5581320511255342E-2</v>
      </c>
      <c r="AY13" s="8">
        <f t="shared" ca="1" si="8"/>
        <v>5.7128661808237738E-2</v>
      </c>
      <c r="AZ13" s="8">
        <f t="shared" ca="1" si="8"/>
        <v>8.9416000000000009E-2</v>
      </c>
      <c r="BA13" s="8">
        <f t="shared" ca="1" si="8"/>
        <v>9.2853908824561612E-2</v>
      </c>
      <c r="BB13" s="8">
        <f t="shared" ca="1" si="8"/>
        <v>7.7976201497636455E-2</v>
      </c>
      <c r="BC13" s="8">
        <f t="shared" ca="1" si="8"/>
        <v>9.7630659118946875E-2</v>
      </c>
      <c r="BD13" s="8">
        <f t="shared" ca="1" si="8"/>
        <v>7.0683862486426136E-2</v>
      </c>
      <c r="BE13" s="8">
        <f t="shared" ca="1" si="8"/>
        <v>8.8874359496988783E-2</v>
      </c>
      <c r="BF13" s="8">
        <f t="shared" ca="1" si="9"/>
        <v>9.8167707602856868E-2</v>
      </c>
      <c r="BG13" s="8">
        <f t="shared" ca="1" si="9"/>
        <v>0.10334507585753662</v>
      </c>
      <c r="BH13" s="8">
        <f t="shared" ca="1" si="9"/>
        <v>6.8695114935488688E-2</v>
      </c>
      <c r="BI13" s="8">
        <f t="shared" ca="1" si="9"/>
        <v>7.862483434640738E-2</v>
      </c>
      <c r="BJ13" s="8">
        <f t="shared" ca="1" si="9"/>
        <v>5.9354784137422324E-2</v>
      </c>
      <c r="BK13" s="8">
        <f t="shared" ca="1" si="9"/>
        <v>9.2047284022941184E-2</v>
      </c>
      <c r="BL13" s="8">
        <f t="shared" ca="1" si="9"/>
        <v>9.1632527325180776E-2</v>
      </c>
      <c r="BM13" s="8">
        <f t="shared" ca="1" si="9"/>
        <v>0.10387668273486597</v>
      </c>
      <c r="BN13" s="8">
        <f t="shared" ca="1" si="9"/>
        <v>7.1049769148111952E-2</v>
      </c>
      <c r="BO13" s="8">
        <f t="shared" ca="1" si="9"/>
        <v>8.4282647704020316E-2</v>
      </c>
      <c r="BP13" s="48"/>
      <c r="BQ13" s="8">
        <f t="shared" ca="1" si="10"/>
        <v>2.9520000000000005E-2</v>
      </c>
      <c r="BR13" s="8">
        <f t="shared" ca="1" si="10"/>
        <v>9.8400000000000015E-3</v>
      </c>
      <c r="BS13" s="8">
        <f t="shared" ca="1" si="10"/>
        <v>3.9360000000000006E-2</v>
      </c>
      <c r="BT13" s="8">
        <f t="shared" ca="1" si="10"/>
        <v>3.1980000000000008E-2</v>
      </c>
      <c r="BU13" s="8">
        <f t="shared" ca="1" si="10"/>
        <v>8.9416000000000009E-2</v>
      </c>
      <c r="BV13" s="8">
        <f t="shared" ca="1" si="10"/>
        <v>6.9372000000000017E-2</v>
      </c>
      <c r="BW13" s="8">
        <f t="shared" ca="1" si="10"/>
        <v>5.4120000000000008E-2</v>
      </c>
      <c r="BX13" s="8">
        <f t="shared" ca="1" si="10"/>
        <v>7.1340000000000015E-2</v>
      </c>
      <c r="BY13" s="8">
        <f t="shared" ca="1" si="10"/>
        <v>3.0996000000000003E-2</v>
      </c>
      <c r="BZ13" s="8">
        <f t="shared" ca="1" si="10"/>
        <v>3.5424000000000004E-2</v>
      </c>
      <c r="CA13" s="8">
        <f t="shared" ca="1" si="10"/>
        <v>5.5104000000000014E-2</v>
      </c>
      <c r="CB13" s="8">
        <f t="shared" ca="1" si="10"/>
        <v>4.6248000000000004E-2</v>
      </c>
      <c r="CC13" s="8">
        <f t="shared" ca="1" si="10"/>
        <v>4.2804000000000009E-2</v>
      </c>
      <c r="CD13" s="8">
        <f t="shared" ca="1" si="10"/>
        <v>3.5424000000000004E-2</v>
      </c>
      <c r="CE13" s="8">
        <f t="shared" ca="1" si="10"/>
        <v>3.1980000000000008E-2</v>
      </c>
      <c r="CF13" s="8">
        <f t="shared" ca="1" si="10"/>
        <v>5.7563999999999997E-2</v>
      </c>
      <c r="CG13" s="8">
        <f t="shared" ca="1" si="11"/>
        <v>6.1008000000000007E-2</v>
      </c>
      <c r="CH13" s="8">
        <f t="shared" ca="1" si="11"/>
        <v>8.0196000000000003E-2</v>
      </c>
      <c r="CI13" s="8">
        <f t="shared" ca="1" si="11"/>
        <v>4.0836000000000004E-2</v>
      </c>
      <c r="CJ13" s="8">
        <f t="shared" ca="1" si="11"/>
        <v>4.6248000000000004E-2</v>
      </c>
      <c r="CL13" s="48"/>
    </row>
    <row r="14" spans="1:90" x14ac:dyDescent="0.25">
      <c r="A14" s="11">
        <v>6</v>
      </c>
      <c r="B14" s="70" t="s">
        <v>90</v>
      </c>
      <c r="C14" s="69">
        <v>0</v>
      </c>
      <c r="D14" s="68">
        <v>1.41</v>
      </c>
      <c r="E14" s="69">
        <v>0.13</v>
      </c>
      <c r="G14" s="62">
        <v>0</v>
      </c>
      <c r="H14" s="62">
        <v>1</v>
      </c>
      <c r="P14" s="31"/>
      <c r="Q14" s="25"/>
      <c r="R14" s="25"/>
      <c r="S14" s="37">
        <v>1</v>
      </c>
      <c r="T14" s="25"/>
      <c r="U14" s="29">
        <f t="shared" ca="1" si="12"/>
        <v>3.0172429237725795E-2</v>
      </c>
      <c r="V14" s="29">
        <f t="shared" ca="1" si="3"/>
        <v>0.13381496170088295</v>
      </c>
      <c r="X14" s="53">
        <f t="shared" si="4"/>
        <v>0.1487</v>
      </c>
      <c r="Y14" s="53">
        <f t="shared" si="5"/>
        <v>0.31052214091751978</v>
      </c>
      <c r="AA14" s="54">
        <f t="shared" ca="1" si="6"/>
        <v>0.64215746969093501</v>
      </c>
      <c r="AB14" s="54">
        <f t="shared" ca="1" si="6"/>
        <v>0.24948738868716736</v>
      </c>
      <c r="AC14" s="54">
        <f t="shared" ca="1" si="6"/>
        <v>0.66252760901242602</v>
      </c>
      <c r="AD14" s="54">
        <f t="shared" ca="1" si="6"/>
        <v>0.61795017081419978</v>
      </c>
      <c r="AE14" s="54">
        <f t="shared" ca="1" si="6"/>
        <v>0.74710909727097896</v>
      </c>
      <c r="AF14" s="54">
        <f t="shared" ca="1" si="6"/>
        <v>1</v>
      </c>
      <c r="AG14" s="54">
        <f t="shared" ca="1" si="6"/>
        <v>0.76616932640448376</v>
      </c>
      <c r="AH14" s="54">
        <f t="shared" ca="1" si="6"/>
        <v>0.8066329010545783</v>
      </c>
      <c r="AI14" s="54">
        <f t="shared" ca="1" si="6"/>
        <v>0.48407697644569103</v>
      </c>
      <c r="AJ14" s="54">
        <f t="shared" ca="1" si="6"/>
        <v>0.43999745425005898</v>
      </c>
      <c r="AK14" s="54">
        <f t="shared" ca="1" si="7"/>
        <v>0.61964581988577649</v>
      </c>
      <c r="AL14" s="54">
        <f t="shared" ca="1" si="7"/>
        <v>0.49400599166004067</v>
      </c>
      <c r="AM14" s="54">
        <f t="shared" ca="1" si="7"/>
        <v>0.68784019245859795</v>
      </c>
      <c r="AN14" s="54">
        <f t="shared" ca="1" si="7"/>
        <v>0.49735547619079251</v>
      </c>
      <c r="AO14" s="54">
        <f t="shared" ca="1" si="7"/>
        <v>0.59477372946133489</v>
      </c>
      <c r="AP14" s="54">
        <f t="shared" ca="1" si="7"/>
        <v>0.69034953128198162</v>
      </c>
      <c r="AQ14" s="54">
        <f t="shared" ca="1" si="7"/>
        <v>0.73496417648738566</v>
      </c>
      <c r="AR14" s="54">
        <f t="shared" ca="1" si="7"/>
        <v>0.85224347223948604</v>
      </c>
      <c r="AS14" s="54">
        <f t="shared" ca="1" si="7"/>
        <v>0.63446778005020399</v>
      </c>
      <c r="AT14" s="54">
        <f t="shared" ca="1" si="7"/>
        <v>0.60573662637498338</v>
      </c>
      <c r="AV14" s="8">
        <f t="shared" ca="1" si="8"/>
        <v>5.2697354772322305E-2</v>
      </c>
      <c r="AW14" s="8">
        <f t="shared" ca="1" si="8"/>
        <v>4.5212706178683892E-2</v>
      </c>
      <c r="AX14" s="8">
        <f t="shared" ca="1" si="8"/>
        <v>6.8102822261636137E-2</v>
      </c>
      <c r="AY14" s="8">
        <f t="shared" ca="1" si="8"/>
        <v>5.9325171723308152E-2</v>
      </c>
      <c r="AZ14" s="8">
        <f t="shared" ca="1" si="8"/>
        <v>9.2853908824561612E-2</v>
      </c>
      <c r="BA14" s="8">
        <f t="shared" ca="1" si="8"/>
        <v>9.642400000000001E-2</v>
      </c>
      <c r="BB14" s="8">
        <f t="shared" ca="1" si="8"/>
        <v>8.0974267517526843E-2</v>
      </c>
      <c r="BC14" s="8">
        <f t="shared" ca="1" si="8"/>
        <v>0.10138440905780338</v>
      </c>
      <c r="BD14" s="8">
        <f t="shared" ca="1" si="8"/>
        <v>7.3401549193460494E-2</v>
      </c>
      <c r="BE14" s="8">
        <f t="shared" ca="1" si="8"/>
        <v>9.2291443070308538E-2</v>
      </c>
      <c r="BF14" s="8">
        <f t="shared" ca="1" si="9"/>
        <v>0.10194210623682445</v>
      </c>
      <c r="BG14" s="8">
        <f t="shared" ca="1" si="9"/>
        <v>0.1073185364044814</v>
      </c>
      <c r="BH14" s="8">
        <f t="shared" ca="1" si="9"/>
        <v>7.1336337332386229E-2</v>
      </c>
      <c r="BI14" s="8">
        <f t="shared" ca="1" si="9"/>
        <v>8.1647839310051568E-2</v>
      </c>
      <c r="BJ14" s="8">
        <f t="shared" ca="1" si="9"/>
        <v>6.1636885060814044E-2</v>
      </c>
      <c r="BK14" s="8">
        <f t="shared" ca="1" si="9"/>
        <v>9.5586361705004771E-2</v>
      </c>
      <c r="BL14" s="8">
        <f t="shared" ca="1" si="9"/>
        <v>9.5155658244793842E-2</v>
      </c>
      <c r="BM14" s="8">
        <f t="shared" ca="1" si="9"/>
        <v>0.10787058275544821</v>
      </c>
      <c r="BN14" s="8">
        <f t="shared" ca="1" si="9"/>
        <v>7.3781524408214838E-2</v>
      </c>
      <c r="BO14" s="8">
        <f t="shared" ca="1" si="9"/>
        <v>8.7523186962084526E-2</v>
      </c>
      <c r="BP14" s="48"/>
      <c r="BQ14" s="8">
        <f t="shared" ca="1" si="10"/>
        <v>3.3840000000000009E-2</v>
      </c>
      <c r="BR14" s="8">
        <f t="shared" ca="1" si="10"/>
        <v>1.1280000000000002E-2</v>
      </c>
      <c r="BS14" s="8">
        <f t="shared" ca="1" si="10"/>
        <v>4.5120000000000007E-2</v>
      </c>
      <c r="BT14" s="8">
        <f t="shared" ca="1" si="10"/>
        <v>3.6660000000000005E-2</v>
      </c>
      <c r="BU14" s="8">
        <f t="shared" ca="1" si="10"/>
        <v>6.9372000000000017E-2</v>
      </c>
      <c r="BV14" s="8">
        <f t="shared" ca="1" si="10"/>
        <v>9.642400000000001E-2</v>
      </c>
      <c r="BW14" s="8">
        <f t="shared" ca="1" si="10"/>
        <v>6.2040000000000012E-2</v>
      </c>
      <c r="BX14" s="8">
        <f t="shared" ca="1" si="10"/>
        <v>8.1780000000000005E-2</v>
      </c>
      <c r="BY14" s="8">
        <f t="shared" ca="1" si="10"/>
        <v>3.5532000000000008E-2</v>
      </c>
      <c r="BZ14" s="8">
        <f t="shared" ca="1" si="10"/>
        <v>4.0608000000000005E-2</v>
      </c>
      <c r="CA14" s="8">
        <f t="shared" ca="1" si="10"/>
        <v>6.3168000000000016E-2</v>
      </c>
      <c r="CB14" s="8">
        <f t="shared" ca="1" si="10"/>
        <v>5.3016000000000008E-2</v>
      </c>
      <c r="CC14" s="8">
        <f t="shared" ca="1" si="10"/>
        <v>4.9068000000000007E-2</v>
      </c>
      <c r="CD14" s="8">
        <f t="shared" ca="1" si="10"/>
        <v>4.0608000000000005E-2</v>
      </c>
      <c r="CE14" s="8">
        <f t="shared" ca="1" si="10"/>
        <v>3.6660000000000005E-2</v>
      </c>
      <c r="CF14" s="8">
        <f t="shared" ca="1" si="10"/>
        <v>6.5988000000000005E-2</v>
      </c>
      <c r="CG14" s="8">
        <f t="shared" ca="1" si="11"/>
        <v>6.9936000000000012E-2</v>
      </c>
      <c r="CH14" s="8">
        <f t="shared" ca="1" si="11"/>
        <v>9.1932000000000014E-2</v>
      </c>
      <c r="CI14" s="8">
        <f t="shared" ca="1" si="11"/>
        <v>4.6812000000000006E-2</v>
      </c>
      <c r="CJ14" s="8">
        <f t="shared" ca="1" si="11"/>
        <v>5.3016000000000008E-2</v>
      </c>
      <c r="CL14" s="48"/>
    </row>
    <row r="15" spans="1:90" x14ac:dyDescent="0.25">
      <c r="A15" s="11">
        <v>7</v>
      </c>
      <c r="B15" s="70" t="s">
        <v>91</v>
      </c>
      <c r="C15" s="69">
        <v>0</v>
      </c>
      <c r="D15" s="68">
        <v>1.1000000000000001</v>
      </c>
      <c r="E15" s="69">
        <v>0.14000000000000001</v>
      </c>
      <c r="G15" s="62">
        <v>0</v>
      </c>
      <c r="H15" s="62">
        <v>1</v>
      </c>
      <c r="P15" s="31"/>
      <c r="Q15" s="25"/>
      <c r="R15" s="25"/>
      <c r="S15" s="37">
        <v>1</v>
      </c>
      <c r="T15" s="25"/>
      <c r="U15" s="29">
        <f t="shared" ca="1" si="12"/>
        <v>3.7267925753668454E-2</v>
      </c>
      <c r="V15" s="29">
        <f t="shared" ca="1" si="3"/>
        <v>0.11802214913792375</v>
      </c>
      <c r="X15" s="53">
        <f t="shared" si="4"/>
        <v>0.127</v>
      </c>
      <c r="Y15" s="53">
        <f t="shared" si="5"/>
        <v>0.26076809620810598</v>
      </c>
      <c r="AA15" s="54">
        <f t="shared" ca="1" si="6"/>
        <v>0.59655875900130451</v>
      </c>
      <c r="AB15" s="54">
        <f t="shared" ca="1" si="6"/>
        <v>0.23177163547334453</v>
      </c>
      <c r="AC15" s="54">
        <f t="shared" ca="1" si="6"/>
        <v>0.61548244300074639</v>
      </c>
      <c r="AD15" s="54">
        <f t="shared" ca="1" si="6"/>
        <v>0.57407038682114575</v>
      </c>
      <c r="AE15" s="54">
        <f t="shared" ca="1" si="6"/>
        <v>0.69405791716643761</v>
      </c>
      <c r="AF15" s="54">
        <f t="shared" ca="1" si="6"/>
        <v>0.76616932640448376</v>
      </c>
      <c r="AG15" s="54">
        <f t="shared" ca="1" si="6"/>
        <v>1</v>
      </c>
      <c r="AH15" s="54">
        <f t="shared" ca="1" si="6"/>
        <v>0.74935501825485384</v>
      </c>
      <c r="AI15" s="54">
        <f t="shared" ca="1" si="6"/>
        <v>0.44970334218573016</v>
      </c>
      <c r="AJ15" s="54">
        <f t="shared" ca="1" si="6"/>
        <v>0.40875384568442386</v>
      </c>
      <c r="AK15" s="54">
        <f t="shared" ca="1" si="7"/>
        <v>0.57564563020549564</v>
      </c>
      <c r="AL15" s="54">
        <f t="shared" ca="1" si="7"/>
        <v>0.45892731180992269</v>
      </c>
      <c r="AM15" s="54">
        <f t="shared" ca="1" si="7"/>
        <v>0.63899761502706098</v>
      </c>
      <c r="AN15" s="54">
        <f t="shared" ca="1" si="7"/>
        <v>0.46203895409280554</v>
      </c>
      <c r="AO15" s="54">
        <f t="shared" ca="1" si="7"/>
        <v>0.55253967240278667</v>
      </c>
      <c r="AP15" s="54">
        <f t="shared" ca="1" si="7"/>
        <v>0.64132876918324022</v>
      </c>
      <c r="AQ15" s="54">
        <f t="shared" ca="1" si="7"/>
        <v>0.68277539035207757</v>
      </c>
      <c r="AR15" s="54">
        <f t="shared" ca="1" si="7"/>
        <v>0.79172684608160926</v>
      </c>
      <c r="AS15" s="54">
        <f t="shared" ca="1" si="7"/>
        <v>0.58941510354964799</v>
      </c>
      <c r="AT15" s="54">
        <f t="shared" ca="1" si="7"/>
        <v>0.56272410922170746</v>
      </c>
      <c r="AV15" s="8">
        <f t="shared" ca="1" si="8"/>
        <v>4.4253813395005864E-2</v>
      </c>
      <c r="AW15" s="8">
        <f t="shared" ca="1" si="8"/>
        <v>3.7968407920269724E-2</v>
      </c>
      <c r="AX15" s="8">
        <f t="shared" ca="1" si="8"/>
        <v>5.7190908368376189E-2</v>
      </c>
      <c r="AY15" s="8">
        <f t="shared" ca="1" si="8"/>
        <v>4.9819674828324612E-2</v>
      </c>
      <c r="AZ15" s="8">
        <f t="shared" ca="1" si="8"/>
        <v>7.7976201497636455E-2</v>
      </c>
      <c r="BA15" s="8">
        <f t="shared" ca="1" si="8"/>
        <v>8.0974267517526843E-2</v>
      </c>
      <c r="BB15" s="8">
        <f t="shared" ca="1" si="8"/>
        <v>6.8000000000000019E-2</v>
      </c>
      <c r="BC15" s="8">
        <f t="shared" ca="1" si="8"/>
        <v>8.5139884895388512E-2</v>
      </c>
      <c r="BD15" s="8">
        <f t="shared" ca="1" si="8"/>
        <v>6.1640635947400817E-2</v>
      </c>
      <c r="BE15" s="8">
        <f t="shared" ca="1" si="8"/>
        <v>7.7503857968490839E-2</v>
      </c>
      <c r="BF15" s="8">
        <f t="shared" ca="1" si="9"/>
        <v>8.5608223904015221E-2</v>
      </c>
      <c r="BG15" s="8">
        <f t="shared" ca="1" si="9"/>
        <v>9.0123204559092326E-2</v>
      </c>
      <c r="BH15" s="8">
        <f t="shared" ca="1" si="9"/>
        <v>5.9906326877884955E-2</v>
      </c>
      <c r="BI15" s="8">
        <f t="shared" ca="1" si="9"/>
        <v>6.8565647375343888E-2</v>
      </c>
      <c r="BJ15" s="8">
        <f t="shared" ca="1" si="9"/>
        <v>5.1760989171382742E-2</v>
      </c>
      <c r="BK15" s="8">
        <f t="shared" ca="1" si="9"/>
        <v>8.027084153040881E-2</v>
      </c>
      <c r="BL15" s="8">
        <f t="shared" ca="1" si="9"/>
        <v>7.9909148412431491E-2</v>
      </c>
      <c r="BM15" s="8">
        <f t="shared" ca="1" si="9"/>
        <v>9.0586798155139592E-2</v>
      </c>
      <c r="BN15" s="8">
        <f t="shared" ca="1" si="9"/>
        <v>6.1959728856734043E-2</v>
      </c>
      <c r="BO15" s="8">
        <f t="shared" ca="1" si="9"/>
        <v>7.349960544111786E-2</v>
      </c>
      <c r="BP15" s="48"/>
      <c r="BQ15" s="8">
        <f t="shared" ca="1" si="10"/>
        <v>2.6400000000000003E-2</v>
      </c>
      <c r="BR15" s="8">
        <f t="shared" ca="1" si="10"/>
        <v>8.8000000000000023E-3</v>
      </c>
      <c r="BS15" s="8">
        <f t="shared" ca="1" si="10"/>
        <v>3.5200000000000009E-2</v>
      </c>
      <c r="BT15" s="8">
        <f t="shared" ca="1" si="10"/>
        <v>2.8600000000000007E-2</v>
      </c>
      <c r="BU15" s="8">
        <f t="shared" ca="1" si="10"/>
        <v>5.4120000000000008E-2</v>
      </c>
      <c r="BV15" s="8">
        <f t="shared" ca="1" si="10"/>
        <v>6.2040000000000012E-2</v>
      </c>
      <c r="BW15" s="8">
        <f t="shared" ca="1" si="10"/>
        <v>6.8000000000000019E-2</v>
      </c>
      <c r="BX15" s="8">
        <f t="shared" ca="1" si="10"/>
        <v>6.3800000000000009E-2</v>
      </c>
      <c r="BY15" s="8">
        <f t="shared" ca="1" si="10"/>
        <v>2.7720000000000009E-2</v>
      </c>
      <c r="BZ15" s="8">
        <f t="shared" ca="1" si="10"/>
        <v>3.1680000000000007E-2</v>
      </c>
      <c r="CA15" s="8">
        <f t="shared" ca="1" si="10"/>
        <v>4.9280000000000018E-2</v>
      </c>
      <c r="CB15" s="8">
        <f t="shared" ca="1" si="10"/>
        <v>4.1360000000000008E-2</v>
      </c>
      <c r="CC15" s="8">
        <f t="shared" ca="1" si="10"/>
        <v>3.8280000000000008E-2</v>
      </c>
      <c r="CD15" s="8">
        <f t="shared" ca="1" si="10"/>
        <v>3.1680000000000007E-2</v>
      </c>
      <c r="CE15" s="8">
        <f t="shared" ca="1" si="10"/>
        <v>2.8600000000000007E-2</v>
      </c>
      <c r="CF15" s="8">
        <f t="shared" ca="1" si="10"/>
        <v>5.1480000000000005E-2</v>
      </c>
      <c r="CG15" s="8">
        <f t="shared" ca="1" si="11"/>
        <v>5.4560000000000011E-2</v>
      </c>
      <c r="CH15" s="8">
        <f t="shared" ca="1" si="11"/>
        <v>7.1720000000000006E-2</v>
      </c>
      <c r="CI15" s="8">
        <f t="shared" ca="1" si="11"/>
        <v>3.6520000000000011E-2</v>
      </c>
      <c r="CJ15" s="8">
        <f t="shared" ca="1" si="11"/>
        <v>4.1360000000000008E-2</v>
      </c>
      <c r="CL15" s="48"/>
    </row>
    <row r="16" spans="1:90" x14ac:dyDescent="0.25">
      <c r="A16" s="11">
        <v>8</v>
      </c>
      <c r="B16" s="70" t="s">
        <v>92</v>
      </c>
      <c r="C16" s="69">
        <v>0</v>
      </c>
      <c r="D16" s="68">
        <v>1.45</v>
      </c>
      <c r="E16" s="69">
        <v>0.15</v>
      </c>
      <c r="G16" s="62">
        <v>0</v>
      </c>
      <c r="H16" s="62">
        <v>1</v>
      </c>
      <c r="P16" s="31"/>
      <c r="Q16" s="25"/>
      <c r="R16" s="25"/>
      <c r="S16" s="37">
        <v>1</v>
      </c>
      <c r="T16" s="25"/>
      <c r="U16" s="29">
        <f t="shared" ca="1" si="12"/>
        <v>4.4363422269611118E-2</v>
      </c>
      <c r="V16" s="29">
        <f t="shared" ca="1" si="3"/>
        <v>0.10464902231170656</v>
      </c>
      <c r="X16" s="53">
        <f t="shared" si="4"/>
        <v>0.1515</v>
      </c>
      <c r="Y16" s="53">
        <f t="shared" si="5"/>
        <v>0.32649655434629021</v>
      </c>
      <c r="AA16" s="54">
        <f t="shared" ca="1" si="6"/>
        <v>0.62806471864510438</v>
      </c>
      <c r="AB16" s="54">
        <f t="shared" ca="1" si="6"/>
        <v>0.24401215274615307</v>
      </c>
      <c r="AC16" s="54">
        <f t="shared" ca="1" si="6"/>
        <v>0.64798781605588651</v>
      </c>
      <c r="AD16" s="54">
        <f t="shared" ca="1" si="6"/>
        <v>0.60438867176287769</v>
      </c>
      <c r="AE16" s="54">
        <f t="shared" ca="1" si="6"/>
        <v>0.73071308381810651</v>
      </c>
      <c r="AF16" s="54">
        <f t="shared" ca="1" si="6"/>
        <v>0.8066329010545783</v>
      </c>
      <c r="AG16" s="54">
        <f t="shared" ca="1" si="6"/>
        <v>0.74935501825485384</v>
      </c>
      <c r="AH16" s="54">
        <f t="shared" ca="1" si="6"/>
        <v>1</v>
      </c>
      <c r="AI16" s="54">
        <f t="shared" ca="1" si="6"/>
        <v>0.47345345084946788</v>
      </c>
      <c r="AJ16" s="54">
        <f t="shared" ca="1" si="6"/>
        <v>0.4303412953229821</v>
      </c>
      <c r="AK16" s="54">
        <f t="shared" ca="1" si="7"/>
        <v>0.60604710821705965</v>
      </c>
      <c r="AL16" s="54">
        <f t="shared" ca="1" si="7"/>
        <v>0.48316456446467648</v>
      </c>
      <c r="AM16" s="54">
        <f t="shared" ca="1" si="7"/>
        <v>0.67274489099570189</v>
      </c>
      <c r="AN16" s="54">
        <f t="shared" ca="1" si="7"/>
        <v>0.48644054139978138</v>
      </c>
      <c r="AO16" s="54">
        <f t="shared" ca="1" si="7"/>
        <v>0.58172085926435202</v>
      </c>
      <c r="AP16" s="54">
        <f t="shared" ca="1" si="7"/>
        <v>0.67519916001300739</v>
      </c>
      <c r="AQ16" s="54">
        <f t="shared" ca="1" si="7"/>
        <v>0.71883469477034578</v>
      </c>
      <c r="AR16" s="54">
        <f t="shared" ca="1" si="7"/>
        <v>0.83354018581585265</v>
      </c>
      <c r="AS16" s="54">
        <f t="shared" ca="1" si="7"/>
        <v>0.62054378649274888</v>
      </c>
      <c r="AT16" s="54">
        <f t="shared" ca="1" si="7"/>
        <v>0.59244316507030925</v>
      </c>
      <c r="AV16" s="8">
        <f t="shared" ca="1" si="8"/>
        <v>5.5408302626952954E-2</v>
      </c>
      <c r="AW16" s="8">
        <f t="shared" ca="1" si="8"/>
        <v>4.7538615882248836E-2</v>
      </c>
      <c r="AX16" s="8">
        <f t="shared" ca="1" si="8"/>
        <v>7.1606284640386167E-2</v>
      </c>
      <c r="AY16" s="8">
        <f t="shared" ca="1" si="8"/>
        <v>6.2377079123665309E-2</v>
      </c>
      <c r="AZ16" s="8">
        <f t="shared" ca="1" si="8"/>
        <v>9.7630659118946875E-2</v>
      </c>
      <c r="BA16" s="8">
        <f t="shared" ca="1" si="8"/>
        <v>0.10138440905780338</v>
      </c>
      <c r="BB16" s="8">
        <f t="shared" ca="1" si="8"/>
        <v>8.5139884895388512E-2</v>
      </c>
      <c r="BC16" s="8">
        <f t="shared" ca="1" si="8"/>
        <v>0.10660000000000004</v>
      </c>
      <c r="BD16" s="8">
        <f t="shared" ca="1" si="8"/>
        <v>7.7177597785886051E-2</v>
      </c>
      <c r="BE16" s="8">
        <f t="shared" ca="1" si="8"/>
        <v>9.7039258035086007E-2</v>
      </c>
      <c r="BF16" s="8">
        <f t="shared" ca="1" si="9"/>
        <v>0.10718638719538973</v>
      </c>
      <c r="BG16" s="8">
        <f t="shared" ca="1" si="9"/>
        <v>0.11283940092006871</v>
      </c>
      <c r="BH16" s="8">
        <f t="shared" ca="1" si="9"/>
        <v>7.5006143748362397E-2</v>
      </c>
      <c r="BI16" s="8">
        <f t="shared" ca="1" si="9"/>
        <v>8.5848107725214326E-2</v>
      </c>
      <c r="BJ16" s="8">
        <f t="shared" ca="1" si="9"/>
        <v>6.4807715590043766E-2</v>
      </c>
      <c r="BK16" s="8">
        <f t="shared" ca="1" si="9"/>
        <v>0.10050367953463199</v>
      </c>
      <c r="BL16" s="8">
        <f t="shared" ca="1" si="9"/>
        <v>0.10005081908710195</v>
      </c>
      <c r="BM16" s="8">
        <f t="shared" ca="1" si="9"/>
        <v>0.11341984658779963</v>
      </c>
      <c r="BN16" s="8">
        <f t="shared" ca="1" si="9"/>
        <v>7.7577120338409078E-2</v>
      </c>
      <c r="BO16" s="8">
        <f t="shared" ca="1" si="9"/>
        <v>9.2025705104606531E-2</v>
      </c>
      <c r="BP16" s="48"/>
      <c r="BQ16" s="8">
        <f t="shared" ca="1" si="10"/>
        <v>3.4800000000000005E-2</v>
      </c>
      <c r="BR16" s="8">
        <f t="shared" ca="1" si="10"/>
        <v>1.1600000000000001E-2</v>
      </c>
      <c r="BS16" s="8">
        <f t="shared" ca="1" si="10"/>
        <v>4.6400000000000004E-2</v>
      </c>
      <c r="BT16" s="8">
        <f t="shared" ca="1" si="10"/>
        <v>3.7700000000000004E-2</v>
      </c>
      <c r="BU16" s="8">
        <f t="shared" ca="1" si="10"/>
        <v>7.1340000000000015E-2</v>
      </c>
      <c r="BV16" s="8">
        <f t="shared" ca="1" si="10"/>
        <v>8.1780000000000005E-2</v>
      </c>
      <c r="BW16" s="8">
        <f t="shared" ca="1" si="10"/>
        <v>6.3800000000000009E-2</v>
      </c>
      <c r="BX16" s="8">
        <f t="shared" ca="1" si="10"/>
        <v>0.10660000000000004</v>
      </c>
      <c r="BY16" s="8">
        <f t="shared" ca="1" si="10"/>
        <v>3.6540000000000003E-2</v>
      </c>
      <c r="BZ16" s="8">
        <f t="shared" ca="1" si="10"/>
        <v>4.1760000000000012E-2</v>
      </c>
      <c r="CA16" s="8">
        <f t="shared" ca="1" si="10"/>
        <v>6.4960000000000018E-2</v>
      </c>
      <c r="CB16" s="8">
        <f t="shared" ca="1" si="10"/>
        <v>5.4520000000000013E-2</v>
      </c>
      <c r="CC16" s="8">
        <f t="shared" ca="1" si="10"/>
        <v>5.0460000000000005E-2</v>
      </c>
      <c r="CD16" s="8">
        <f t="shared" ca="1" si="10"/>
        <v>4.1760000000000012E-2</v>
      </c>
      <c r="CE16" s="8">
        <f t="shared" ca="1" si="10"/>
        <v>3.7700000000000004E-2</v>
      </c>
      <c r="CF16" s="8">
        <f t="shared" ca="1" si="10"/>
        <v>6.7860000000000004E-2</v>
      </c>
      <c r="CG16" s="8">
        <f t="shared" ca="1" si="11"/>
        <v>7.1920000000000012E-2</v>
      </c>
      <c r="CH16" s="8">
        <f t="shared" ca="1" si="11"/>
        <v>9.4540000000000013E-2</v>
      </c>
      <c r="CI16" s="8">
        <f t="shared" ca="1" si="11"/>
        <v>4.8140000000000009E-2</v>
      </c>
      <c r="CJ16" s="8">
        <f t="shared" ca="1" si="11"/>
        <v>5.4520000000000006E-2</v>
      </c>
      <c r="CL16" s="48"/>
    </row>
    <row r="17" spans="1:90" x14ac:dyDescent="0.25">
      <c r="A17" s="11">
        <v>9</v>
      </c>
      <c r="B17" s="70" t="s">
        <v>93</v>
      </c>
      <c r="C17" s="69">
        <v>0</v>
      </c>
      <c r="D17" s="68">
        <v>0.63</v>
      </c>
      <c r="E17" s="69">
        <v>0.2</v>
      </c>
      <c r="G17" s="62">
        <v>0</v>
      </c>
      <c r="H17" s="62">
        <v>1</v>
      </c>
      <c r="P17" s="31"/>
      <c r="Q17" s="25"/>
      <c r="R17" s="25"/>
      <c r="S17" s="37">
        <v>1</v>
      </c>
      <c r="T17" s="25"/>
      <c r="U17" s="29">
        <f t="shared" ca="1" si="12"/>
        <v>5.1458918785553781E-2</v>
      </c>
      <c r="V17" s="29">
        <f t="shared" ca="1" si="3"/>
        <v>9.4725997096858083E-2</v>
      </c>
      <c r="X17" s="53">
        <f t="shared" si="4"/>
        <v>9.4099999999999989E-2</v>
      </c>
      <c r="Y17" s="53">
        <f t="shared" si="5"/>
        <v>0.2363810483097154</v>
      </c>
      <c r="AA17" s="54">
        <f t="shared" ca="1" si="6"/>
        <v>0.37691454144313957</v>
      </c>
      <c r="AB17" s="54">
        <f t="shared" ca="1" si="6"/>
        <v>0.14643670616823706</v>
      </c>
      <c r="AC17" s="54">
        <f t="shared" ca="1" si="6"/>
        <v>0.38887080152555825</v>
      </c>
      <c r="AD17" s="54">
        <f t="shared" ca="1" si="6"/>
        <v>0.36270605927739763</v>
      </c>
      <c r="AE17" s="54">
        <f t="shared" ca="1" si="6"/>
        <v>0.43851593432592001</v>
      </c>
      <c r="AF17" s="54">
        <f t="shared" ca="1" si="6"/>
        <v>0.48407697644569103</v>
      </c>
      <c r="AG17" s="54">
        <f t="shared" ca="1" si="6"/>
        <v>0.44970334218573016</v>
      </c>
      <c r="AH17" s="54">
        <f t="shared" ca="1" si="6"/>
        <v>0.47345345084946788</v>
      </c>
      <c r="AI17" s="54">
        <f t="shared" ca="1" si="6"/>
        <v>1</v>
      </c>
      <c r="AJ17" s="54">
        <f t="shared" ca="1" si="6"/>
        <v>0.25825665281854915</v>
      </c>
      <c r="AK17" s="54">
        <f t="shared" ca="1" si="7"/>
        <v>0.36370132106664288</v>
      </c>
      <c r="AL17" s="54">
        <f t="shared" ca="1" si="7"/>
        <v>0.28995698190090857</v>
      </c>
      <c r="AM17" s="54">
        <f t="shared" ca="1" si="7"/>
        <v>0.40372803083871556</v>
      </c>
      <c r="AN17" s="54">
        <f t="shared" ca="1" si="7"/>
        <v>0.29192296296562603</v>
      </c>
      <c r="AO17" s="54">
        <f t="shared" ca="1" si="7"/>
        <v>0.34910263927980228</v>
      </c>
      <c r="AP17" s="54">
        <f t="shared" ca="1" si="7"/>
        <v>0.40520088809971783</v>
      </c>
      <c r="AQ17" s="54">
        <f t="shared" ca="1" si="7"/>
        <v>0.43138746901317593</v>
      </c>
      <c r="AR17" s="54">
        <f t="shared" ca="1" si="7"/>
        <v>0.50022459084943283</v>
      </c>
      <c r="AS17" s="54">
        <f t="shared" ca="1" si="7"/>
        <v>0.37240107553863006</v>
      </c>
      <c r="AT17" s="54">
        <f t="shared" ca="1" si="7"/>
        <v>0.35553731528705163</v>
      </c>
      <c r="AV17" s="8">
        <f t="shared" ca="1" si="8"/>
        <v>4.0115194128908314E-2</v>
      </c>
      <c r="AW17" s="8">
        <f t="shared" ca="1" si="8"/>
        <v>3.44176001487611E-2</v>
      </c>
      <c r="AX17" s="8">
        <f t="shared" ca="1" si="8"/>
        <v>5.1842411209356391E-2</v>
      </c>
      <c r="AY17" s="8">
        <f t="shared" ca="1" si="8"/>
        <v>4.5160535869274189E-2</v>
      </c>
      <c r="AZ17" s="8">
        <f t="shared" ca="1" si="8"/>
        <v>7.0683862486426136E-2</v>
      </c>
      <c r="BA17" s="8">
        <f t="shared" ca="1" si="8"/>
        <v>7.3401549193460494E-2</v>
      </c>
      <c r="BB17" s="8">
        <f t="shared" ca="1" si="8"/>
        <v>6.1640635947400817E-2</v>
      </c>
      <c r="BC17" s="8">
        <f t="shared" ca="1" si="8"/>
        <v>7.7177597785886051E-2</v>
      </c>
      <c r="BD17" s="8">
        <f t="shared" ca="1" si="8"/>
        <v>5.5876000000000009E-2</v>
      </c>
      <c r="BE17" s="8">
        <f t="shared" ca="1" si="8"/>
        <v>7.0255692552276511E-2</v>
      </c>
      <c r="BF17" s="8">
        <f t="shared" ca="1" si="9"/>
        <v>7.7602137702514368E-2</v>
      </c>
      <c r="BG17" s="8">
        <f t="shared" ca="1" si="9"/>
        <v>8.1694877097649152E-2</v>
      </c>
      <c r="BH17" s="8">
        <f t="shared" ca="1" si="9"/>
        <v>5.4303883618024969E-2</v>
      </c>
      <c r="BI17" s="8">
        <f t="shared" ca="1" si="9"/>
        <v>6.2153383946491607E-2</v>
      </c>
      <c r="BJ17" s="8">
        <f t="shared" ca="1" si="9"/>
        <v>4.6920298379272918E-2</v>
      </c>
      <c r="BK17" s="8">
        <f t="shared" ca="1" si="9"/>
        <v>7.2763907646579848E-2</v>
      </c>
      <c r="BL17" s="8">
        <f t="shared" ca="1" si="9"/>
        <v>7.2436040090551615E-2</v>
      </c>
      <c r="BM17" s="8">
        <f t="shared" ca="1" si="9"/>
        <v>8.211511539296526E-2</v>
      </c>
      <c r="BN17" s="8">
        <f t="shared" ca="1" si="9"/>
        <v>5.6165251321435399E-2</v>
      </c>
      <c r="BO17" s="8">
        <f t="shared" ca="1" si="9"/>
        <v>6.6625917959905065E-2</v>
      </c>
      <c r="BP17" s="48"/>
      <c r="BQ17" s="8">
        <f t="shared" ca="1" si="10"/>
        <v>1.5120000000000001E-2</v>
      </c>
      <c r="BR17" s="8">
        <f t="shared" ca="1" si="10"/>
        <v>5.0400000000000011E-3</v>
      </c>
      <c r="BS17" s="8">
        <f t="shared" ca="1" si="10"/>
        <v>2.0160000000000004E-2</v>
      </c>
      <c r="BT17" s="8">
        <f t="shared" ca="1" si="10"/>
        <v>1.6380000000000006E-2</v>
      </c>
      <c r="BU17" s="8">
        <f t="shared" ca="1" si="10"/>
        <v>3.0996000000000003E-2</v>
      </c>
      <c r="BV17" s="8">
        <f t="shared" ca="1" si="10"/>
        <v>3.5532000000000008E-2</v>
      </c>
      <c r="BW17" s="8">
        <f t="shared" ca="1" si="10"/>
        <v>2.7720000000000009E-2</v>
      </c>
      <c r="BX17" s="8">
        <f t="shared" ca="1" si="10"/>
        <v>3.6540000000000003E-2</v>
      </c>
      <c r="BY17" s="8">
        <f t="shared" ca="1" si="10"/>
        <v>5.5876000000000009E-2</v>
      </c>
      <c r="BZ17" s="8">
        <f t="shared" ca="1" si="10"/>
        <v>1.8144000000000004E-2</v>
      </c>
      <c r="CA17" s="8">
        <f t="shared" ca="1" si="10"/>
        <v>2.8224000000000009E-2</v>
      </c>
      <c r="CB17" s="8">
        <f t="shared" ca="1" si="10"/>
        <v>2.3688000000000004E-2</v>
      </c>
      <c r="CC17" s="8">
        <f t="shared" ca="1" si="10"/>
        <v>2.1924000000000006E-2</v>
      </c>
      <c r="CD17" s="8">
        <f t="shared" ca="1" si="10"/>
        <v>1.8144000000000004E-2</v>
      </c>
      <c r="CE17" s="8">
        <f t="shared" ca="1" si="10"/>
        <v>1.6380000000000006E-2</v>
      </c>
      <c r="CF17" s="8">
        <f t="shared" ca="1" si="10"/>
        <v>2.9484000000000003E-2</v>
      </c>
      <c r="CG17" s="8">
        <f t="shared" ca="1" si="11"/>
        <v>3.1248000000000005E-2</v>
      </c>
      <c r="CH17" s="8">
        <f t="shared" ca="1" si="11"/>
        <v>4.1076000000000008E-2</v>
      </c>
      <c r="CI17" s="8">
        <f t="shared" ca="1" si="11"/>
        <v>2.0916000000000004E-2</v>
      </c>
      <c r="CJ17" s="8">
        <f t="shared" ca="1" si="11"/>
        <v>2.3688000000000004E-2</v>
      </c>
      <c r="CL17" s="48"/>
    </row>
    <row r="18" spans="1:90" x14ac:dyDescent="0.25">
      <c r="A18" s="11">
        <v>10</v>
      </c>
      <c r="B18" s="70" t="s">
        <v>94</v>
      </c>
      <c r="C18" s="69">
        <v>0</v>
      </c>
      <c r="D18" s="68">
        <v>0.72</v>
      </c>
      <c r="E18" s="69">
        <v>0.26</v>
      </c>
      <c r="G18" s="62">
        <v>0</v>
      </c>
      <c r="H18" s="62">
        <v>1</v>
      </c>
      <c r="P18" s="31"/>
      <c r="Q18" s="25"/>
      <c r="R18" s="25"/>
      <c r="S18" s="37">
        <v>1</v>
      </c>
      <c r="T18" s="25"/>
      <c r="U18" s="29">
        <f t="shared" ca="1" si="12"/>
        <v>5.8554415301496444E-2</v>
      </c>
      <c r="V18" s="29">
        <f t="shared" ca="1" si="3"/>
        <v>8.9409270507750299E-2</v>
      </c>
      <c r="X18" s="53">
        <f t="shared" si="4"/>
        <v>0.10039999999999999</v>
      </c>
      <c r="Y18" s="53">
        <f t="shared" si="5"/>
        <v>0.29721372781215877</v>
      </c>
      <c r="AA18" s="54">
        <f t="shared" ca="1" si="6"/>
        <v>0.34259311385245289</v>
      </c>
      <c r="AB18" s="54">
        <f t="shared" ca="1" si="6"/>
        <v>0.13310233921033604</v>
      </c>
      <c r="AC18" s="54">
        <f t="shared" ca="1" si="6"/>
        <v>0.35346064991508985</v>
      </c>
      <c r="AD18" s="54">
        <f t="shared" ca="1" si="6"/>
        <v>0.32967844059617335</v>
      </c>
      <c r="AE18" s="54">
        <f t="shared" ca="1" si="6"/>
        <v>0.39858515099847475</v>
      </c>
      <c r="AF18" s="54">
        <f t="shared" ca="1" si="6"/>
        <v>0.43999745425005898</v>
      </c>
      <c r="AG18" s="54">
        <f t="shared" ca="1" si="6"/>
        <v>0.40875384568442386</v>
      </c>
      <c r="AH18" s="54">
        <f t="shared" ca="1" si="6"/>
        <v>0.4303412953229821</v>
      </c>
      <c r="AI18" s="54">
        <f t="shared" ca="1" si="6"/>
        <v>0.25825665281854915</v>
      </c>
      <c r="AJ18" s="54">
        <f t="shared" ca="1" si="6"/>
        <v>1</v>
      </c>
      <c r="AK18" s="54">
        <f t="shared" ca="1" si="7"/>
        <v>0.33058307493097611</v>
      </c>
      <c r="AL18" s="54">
        <f t="shared" ca="1" si="7"/>
        <v>0.26355381496385533</v>
      </c>
      <c r="AM18" s="54">
        <f t="shared" ca="1" si="7"/>
        <v>0.36696499611018712</v>
      </c>
      <c r="AN18" s="54">
        <f t="shared" ca="1" si="7"/>
        <v>0.26534077593425909</v>
      </c>
      <c r="AO18" s="54">
        <f t="shared" ca="1" si="7"/>
        <v>0.31731373320607126</v>
      </c>
      <c r="AP18" s="54">
        <f t="shared" ca="1" si="7"/>
        <v>0.36830373659330828</v>
      </c>
      <c r="AQ18" s="54">
        <f t="shared" ca="1" si="7"/>
        <v>0.39210579597244793</v>
      </c>
      <c r="AR18" s="54">
        <f t="shared" ca="1" si="7"/>
        <v>0.45467468447494058</v>
      </c>
      <c r="AS18" s="54">
        <f t="shared" ca="1" si="7"/>
        <v>0.33849063923692768</v>
      </c>
      <c r="AT18" s="54">
        <f t="shared" ca="1" si="7"/>
        <v>0.3231624746250536</v>
      </c>
      <c r="AV18" s="8">
        <f t="shared" ca="1" si="8"/>
        <v>5.0438842175450464E-2</v>
      </c>
      <c r="AW18" s="8">
        <f t="shared" ca="1" si="8"/>
        <v>4.3274971981504505E-2</v>
      </c>
      <c r="AX18" s="8">
        <f t="shared" ca="1" si="8"/>
        <v>6.5184059401052957E-2</v>
      </c>
      <c r="AY18" s="8">
        <f t="shared" ca="1" si="8"/>
        <v>5.6782602969571591E-2</v>
      </c>
      <c r="AZ18" s="8">
        <f t="shared" ca="1" si="8"/>
        <v>8.8874359496988783E-2</v>
      </c>
      <c r="BA18" s="8">
        <f t="shared" ca="1" si="8"/>
        <v>9.2291443070308538E-2</v>
      </c>
      <c r="BB18" s="8">
        <f t="shared" ca="1" si="8"/>
        <v>7.7503857968490839E-2</v>
      </c>
      <c r="BC18" s="8">
        <f t="shared" ca="1" si="8"/>
        <v>9.7039258035086007E-2</v>
      </c>
      <c r="BD18" s="8">
        <f t="shared" ca="1" si="8"/>
        <v>7.0255692552276511E-2</v>
      </c>
      <c r="BE18" s="8">
        <f t="shared" ca="1" si="8"/>
        <v>8.8335999999999998E-2</v>
      </c>
      <c r="BF18" s="8">
        <f t="shared" ca="1" si="9"/>
        <v>9.757305332928759E-2</v>
      </c>
      <c r="BG18" s="8">
        <f t="shared" ca="1" si="9"/>
        <v>0.102719059497252</v>
      </c>
      <c r="BH18" s="8">
        <f t="shared" ca="1" si="9"/>
        <v>6.8278991908199707E-2</v>
      </c>
      <c r="BI18" s="8">
        <f t="shared" ca="1" si="9"/>
        <v>7.8148561701415847E-2</v>
      </c>
      <c r="BJ18" s="8">
        <f t="shared" ca="1" si="9"/>
        <v>5.8995240485991758E-2</v>
      </c>
      <c r="BK18" s="8">
        <f t="shared" ca="1" si="9"/>
        <v>9.1489704426235857E-2</v>
      </c>
      <c r="BL18" s="8">
        <f t="shared" ca="1" si="9"/>
        <v>9.1077460131472707E-2</v>
      </c>
      <c r="BM18" s="8">
        <f t="shared" ca="1" si="9"/>
        <v>0.10324744614759243</v>
      </c>
      <c r="BN18" s="8">
        <f t="shared" ca="1" si="9"/>
        <v>7.061938272174291E-2</v>
      </c>
      <c r="BO18" s="8">
        <f t="shared" ca="1" si="9"/>
        <v>8.3772102659536968E-2</v>
      </c>
      <c r="BP18" s="48"/>
      <c r="BQ18" s="8">
        <f t="shared" ca="1" si="10"/>
        <v>1.7280000000000004E-2</v>
      </c>
      <c r="BR18" s="8">
        <f t="shared" ca="1" si="10"/>
        <v>5.7600000000000004E-3</v>
      </c>
      <c r="BS18" s="8">
        <f t="shared" ca="1" si="10"/>
        <v>2.3040000000000001E-2</v>
      </c>
      <c r="BT18" s="8">
        <f t="shared" ca="1" si="10"/>
        <v>1.8720000000000004E-2</v>
      </c>
      <c r="BU18" s="8">
        <f t="shared" ca="1" si="10"/>
        <v>3.5424000000000004E-2</v>
      </c>
      <c r="BV18" s="8">
        <f t="shared" ca="1" si="10"/>
        <v>4.0608000000000005E-2</v>
      </c>
      <c r="BW18" s="8">
        <f t="shared" ca="1" si="10"/>
        <v>3.1680000000000007E-2</v>
      </c>
      <c r="BX18" s="8">
        <f t="shared" ca="1" si="10"/>
        <v>4.1760000000000012E-2</v>
      </c>
      <c r="BY18" s="8">
        <f t="shared" ca="1" si="10"/>
        <v>1.8144000000000004E-2</v>
      </c>
      <c r="BZ18" s="8">
        <f t="shared" ca="1" si="10"/>
        <v>8.8335999999999998E-2</v>
      </c>
      <c r="CA18" s="8">
        <f t="shared" ca="1" si="10"/>
        <v>3.2256000000000007E-2</v>
      </c>
      <c r="CB18" s="8">
        <f t="shared" ca="1" si="10"/>
        <v>2.7072000000000002E-2</v>
      </c>
      <c r="CC18" s="8">
        <f t="shared" ca="1" si="10"/>
        <v>2.5056000000000005E-2</v>
      </c>
      <c r="CD18" s="8">
        <f t="shared" ca="1" si="10"/>
        <v>2.0736000000000004E-2</v>
      </c>
      <c r="CE18" s="8">
        <f t="shared" ca="1" si="10"/>
        <v>1.8720000000000004E-2</v>
      </c>
      <c r="CF18" s="8">
        <f t="shared" ca="1" si="10"/>
        <v>3.3696000000000004E-2</v>
      </c>
      <c r="CG18" s="8">
        <f t="shared" ca="1" si="11"/>
        <v>3.5712000000000001E-2</v>
      </c>
      <c r="CH18" s="8">
        <f t="shared" ca="1" si="11"/>
        <v>4.6944000000000007E-2</v>
      </c>
      <c r="CI18" s="8">
        <f t="shared" ca="1" si="11"/>
        <v>2.3904000000000005E-2</v>
      </c>
      <c r="CJ18" s="8">
        <f t="shared" ca="1" si="11"/>
        <v>2.7071999999999999E-2</v>
      </c>
      <c r="CL18" s="48"/>
    </row>
    <row r="19" spans="1:90" x14ac:dyDescent="0.25">
      <c r="A19" s="11">
        <v>11</v>
      </c>
      <c r="B19" s="70" t="s">
        <v>95</v>
      </c>
      <c r="C19" s="69">
        <v>0</v>
      </c>
      <c r="D19" s="68">
        <v>1.1200000000000001</v>
      </c>
      <c r="E19" s="69">
        <v>0.24</v>
      </c>
      <c r="G19" s="62">
        <v>0</v>
      </c>
      <c r="H19" s="62">
        <v>1</v>
      </c>
      <c r="P19" s="31"/>
      <c r="Q19" s="25"/>
      <c r="R19" s="25"/>
      <c r="S19" s="37">
        <v>1</v>
      </c>
      <c r="T19" s="25"/>
      <c r="U19" s="29">
        <f t="shared" ca="1" si="12"/>
        <v>6.5649911817439108E-2</v>
      </c>
      <c r="V19" s="29">
        <f t="shared" ca="1" si="3"/>
        <v>8.95233335561091E-2</v>
      </c>
      <c r="X19" s="53">
        <f t="shared" si="4"/>
        <v>0.12840000000000001</v>
      </c>
      <c r="Y19" s="53">
        <f t="shared" si="5"/>
        <v>0.32829255245893108</v>
      </c>
      <c r="AA19" s="54">
        <f t="shared" ref="AA19:AJ28" ca="1" si="13">IF($A19=AA$8,1,(OFFSET($D$8,$A19,0)*OFFSET($D$8,AA$8,0)*sigma_M^2)/(OFFSET($Y$8,$A19,0)*OFFSET($Y$8,AA$8,0)))</f>
        <v>0.48247186175690443</v>
      </c>
      <c r="AB19" s="54">
        <f t="shared" ca="1" si="13"/>
        <v>0.18744723932386786</v>
      </c>
      <c r="AC19" s="54">
        <f t="shared" ca="1" si="13"/>
        <v>0.4977765487013972</v>
      </c>
      <c r="AD19" s="54">
        <f t="shared" ca="1" si="13"/>
        <v>0.46428420357582717</v>
      </c>
      <c r="AE19" s="54">
        <f t="shared" ca="1" si="13"/>
        <v>0.56132511745029667</v>
      </c>
      <c r="AF19" s="54">
        <f t="shared" ca="1" si="13"/>
        <v>0.61964581988577649</v>
      </c>
      <c r="AG19" s="54">
        <f t="shared" ca="1" si="13"/>
        <v>0.57564563020549564</v>
      </c>
      <c r="AH19" s="54">
        <f t="shared" ca="1" si="13"/>
        <v>0.60604710821705965</v>
      </c>
      <c r="AI19" s="54">
        <f t="shared" ca="1" si="13"/>
        <v>0.36370132106664288</v>
      </c>
      <c r="AJ19" s="54">
        <f t="shared" ca="1" si="13"/>
        <v>0.33058307493097611</v>
      </c>
      <c r="AK19" s="54">
        <f t="shared" ref="AK19:AT28" ca="1" si="14">IF($A19=AK$8,1,(OFFSET($D$8,$A19,0)*OFFSET($D$8,AK$8,0)*sigma_M^2)/(OFFSET($Y$8,$A19,0)*OFFSET($Y$8,AK$8,0)))</f>
        <v>1</v>
      </c>
      <c r="AL19" s="54">
        <f t="shared" ca="1" si="14"/>
        <v>0.37116128327526671</v>
      </c>
      <c r="AM19" s="54">
        <f t="shared" ca="1" si="14"/>
        <v>0.51679463980454876</v>
      </c>
      <c r="AN19" s="54">
        <f t="shared" ca="1" si="14"/>
        <v>0.37367784987108255</v>
      </c>
      <c r="AO19" s="54">
        <f t="shared" ca="1" si="14"/>
        <v>0.44687105908060198</v>
      </c>
      <c r="AP19" s="54">
        <f t="shared" ca="1" si="14"/>
        <v>0.51867998013155536</v>
      </c>
      <c r="AQ19" s="54">
        <f t="shared" ca="1" si="14"/>
        <v>0.55220027997986976</v>
      </c>
      <c r="AR19" s="54">
        <f t="shared" ca="1" si="14"/>
        <v>0.64031567665085753</v>
      </c>
      <c r="AS19" s="54">
        <f t="shared" ca="1" si="14"/>
        <v>0.47669437095066675</v>
      </c>
      <c r="AT19" s="54">
        <f t="shared" ca="1" si="14"/>
        <v>0.45510780712734294</v>
      </c>
      <c r="AV19" s="8">
        <f t="shared" ref="AV19:BE28" ca="1" si="15">OFFSET($Y$8,AV$8,0)*OFFSET($Y$8,$A19,0)</f>
        <v>5.5713093613620132E-2</v>
      </c>
      <c r="AW19" s="8">
        <f t="shared" ca="1" si="15"/>
        <v>4.7800117154668149E-2</v>
      </c>
      <c r="AX19" s="8">
        <f t="shared" ca="1" si="15"/>
        <v>7.2000177777558308E-2</v>
      </c>
      <c r="AY19" s="8">
        <f t="shared" ca="1" si="15"/>
        <v>6.2720204081300635E-2</v>
      </c>
      <c r="AZ19" s="8">
        <f t="shared" ca="1" si="15"/>
        <v>9.8167707602856868E-2</v>
      </c>
      <c r="BA19" s="8">
        <f t="shared" ca="1" si="15"/>
        <v>0.10194210623682445</v>
      </c>
      <c r="BB19" s="8">
        <f t="shared" ca="1" si="15"/>
        <v>8.5608223904015221E-2</v>
      </c>
      <c r="BC19" s="8">
        <f t="shared" ca="1" si="15"/>
        <v>0.10718638719538973</v>
      </c>
      <c r="BD19" s="8">
        <f t="shared" ca="1" si="15"/>
        <v>7.7602137702514368E-2</v>
      </c>
      <c r="BE19" s="8">
        <f t="shared" ca="1" si="15"/>
        <v>9.757305332928759E-2</v>
      </c>
      <c r="BF19" s="8">
        <f t="shared" ref="BF19:BO28" ca="1" si="16">OFFSET($Y$8,BF$8,0)*OFFSET($Y$8,$A19,0)</f>
        <v>0.10777600000000001</v>
      </c>
      <c r="BG19" s="8">
        <f t="shared" ca="1" si="16"/>
        <v>0.11346010992414911</v>
      </c>
      <c r="BH19" s="8">
        <f t="shared" ca="1" si="16"/>
        <v>7.54187388916044E-2</v>
      </c>
      <c r="BI19" s="8">
        <f t="shared" ca="1" si="16"/>
        <v>8.6320342538708697E-2</v>
      </c>
      <c r="BJ19" s="8">
        <f t="shared" ca="1" si="16"/>
        <v>6.5164211036427055E-2</v>
      </c>
      <c r="BK19" s="8">
        <f t="shared" ca="1" si="16"/>
        <v>0.10105653198086705</v>
      </c>
      <c r="BL19" s="8">
        <f t="shared" ca="1" si="16"/>
        <v>0.10060118043045023</v>
      </c>
      <c r="BM19" s="8">
        <f t="shared" ca="1" si="16"/>
        <v>0.11404374851783855</v>
      </c>
      <c r="BN19" s="8">
        <f t="shared" ca="1" si="16"/>
        <v>7.8003857955872932E-2</v>
      </c>
      <c r="BO19" s="8">
        <f t="shared" ca="1" si="16"/>
        <v>9.2531921756764585E-2</v>
      </c>
      <c r="BP19" s="48"/>
      <c r="BQ19" s="8">
        <f t="shared" ca="1" si="10"/>
        <v>2.6880000000000008E-2</v>
      </c>
      <c r="BR19" s="8">
        <f t="shared" ca="1" si="10"/>
        <v>8.9600000000000027E-3</v>
      </c>
      <c r="BS19" s="8">
        <f t="shared" ca="1" si="10"/>
        <v>3.5840000000000011E-2</v>
      </c>
      <c r="BT19" s="8">
        <f t="shared" ca="1" si="10"/>
        <v>2.912000000000001E-2</v>
      </c>
      <c r="BU19" s="8">
        <f t="shared" ca="1" si="10"/>
        <v>5.5104000000000014E-2</v>
      </c>
      <c r="BV19" s="8">
        <f t="shared" ca="1" si="10"/>
        <v>6.3168000000000016E-2</v>
      </c>
      <c r="BW19" s="8">
        <f t="shared" ca="1" si="10"/>
        <v>4.9280000000000018E-2</v>
      </c>
      <c r="BX19" s="8">
        <f t="shared" ca="1" si="10"/>
        <v>6.4960000000000018E-2</v>
      </c>
      <c r="BY19" s="8">
        <f t="shared" ca="1" si="10"/>
        <v>2.8224000000000009E-2</v>
      </c>
      <c r="BZ19" s="8">
        <f t="shared" ca="1" si="10"/>
        <v>3.2256000000000007E-2</v>
      </c>
      <c r="CA19" s="8">
        <f t="shared" ca="1" si="10"/>
        <v>0.10777600000000001</v>
      </c>
      <c r="CB19" s="8">
        <f t="shared" ca="1" si="10"/>
        <v>4.2112000000000004E-2</v>
      </c>
      <c r="CC19" s="8">
        <f t="shared" ca="1" si="10"/>
        <v>3.8976000000000011E-2</v>
      </c>
      <c r="CD19" s="8">
        <f t="shared" ca="1" si="10"/>
        <v>3.2256000000000007E-2</v>
      </c>
      <c r="CE19" s="8">
        <f t="shared" ca="1" si="10"/>
        <v>2.912000000000001E-2</v>
      </c>
      <c r="CF19" s="8">
        <f t="shared" ca="1" si="10"/>
        <v>5.2416000000000011E-2</v>
      </c>
      <c r="CG19" s="8">
        <f t="shared" ca="1" si="11"/>
        <v>5.5552000000000011E-2</v>
      </c>
      <c r="CH19" s="8">
        <f t="shared" ca="1" si="11"/>
        <v>7.3024000000000019E-2</v>
      </c>
      <c r="CI19" s="8">
        <f t="shared" ca="1" si="11"/>
        <v>3.7184000000000009E-2</v>
      </c>
      <c r="CJ19" s="8">
        <f t="shared" ca="1" si="11"/>
        <v>4.2112000000000004E-2</v>
      </c>
      <c r="CL19" s="48"/>
    </row>
    <row r="20" spans="1:90" x14ac:dyDescent="0.25">
      <c r="A20" s="11">
        <v>12</v>
      </c>
      <c r="B20" s="70" t="s">
        <v>96</v>
      </c>
      <c r="C20" s="69">
        <v>0</v>
      </c>
      <c r="D20" s="68">
        <v>0.94</v>
      </c>
      <c r="E20" s="69">
        <v>0.28999999999999998</v>
      </c>
      <c r="G20" s="62">
        <v>0</v>
      </c>
      <c r="H20" s="62">
        <v>1</v>
      </c>
      <c r="P20" s="31"/>
      <c r="Q20" s="25"/>
      <c r="R20" s="25"/>
      <c r="S20" s="37">
        <v>1</v>
      </c>
      <c r="T20" s="25"/>
      <c r="U20" s="29">
        <f t="shared" ca="1" si="12"/>
        <v>7.2745408333381764E-2</v>
      </c>
      <c r="V20" s="29">
        <f t="shared" ca="1" si="3"/>
        <v>9.5048636606764936E-2</v>
      </c>
      <c r="X20" s="53">
        <f t="shared" si="4"/>
        <v>0.11579999999999999</v>
      </c>
      <c r="Y20" s="53">
        <f t="shared" si="5"/>
        <v>0.34560671289776762</v>
      </c>
      <c r="AA20" s="54">
        <f t="shared" ca="1" si="13"/>
        <v>0.38464552308159067</v>
      </c>
      <c r="AB20" s="54">
        <f t="shared" ca="1" si="13"/>
        <v>0.14944030343526551</v>
      </c>
      <c r="AC20" s="54">
        <f t="shared" ca="1" si="13"/>
        <v>0.39684702078951406</v>
      </c>
      <c r="AD20" s="54">
        <f t="shared" ca="1" si="13"/>
        <v>0.37014560744046976</v>
      </c>
      <c r="AE20" s="54">
        <f t="shared" ca="1" si="13"/>
        <v>0.44751043643099025</v>
      </c>
      <c r="AF20" s="54">
        <f t="shared" ca="1" si="13"/>
        <v>0.49400599166004067</v>
      </c>
      <c r="AG20" s="54">
        <f t="shared" ca="1" si="13"/>
        <v>0.45892731180992269</v>
      </c>
      <c r="AH20" s="54">
        <f t="shared" ca="1" si="13"/>
        <v>0.48316456446467648</v>
      </c>
      <c r="AI20" s="54">
        <f t="shared" ca="1" si="13"/>
        <v>0.28995698190090857</v>
      </c>
      <c r="AJ20" s="54">
        <f t="shared" ca="1" si="13"/>
        <v>0.26355381496385533</v>
      </c>
      <c r="AK20" s="54">
        <f t="shared" ca="1" si="14"/>
        <v>0.37116128327526671</v>
      </c>
      <c r="AL20" s="54">
        <f t="shared" ca="1" si="14"/>
        <v>1</v>
      </c>
      <c r="AM20" s="54">
        <f t="shared" ca="1" si="14"/>
        <v>0.41200899018136</v>
      </c>
      <c r="AN20" s="54">
        <f t="shared" ca="1" si="14"/>
        <v>0.29791066261204557</v>
      </c>
      <c r="AO20" s="54">
        <f t="shared" ca="1" si="14"/>
        <v>0.35626316453805656</v>
      </c>
      <c r="AP20" s="54">
        <f t="shared" ca="1" si="14"/>
        <v>0.41351205755948128</v>
      </c>
      <c r="AQ20" s="54">
        <f t="shared" ca="1" si="14"/>
        <v>0.44023575751175553</v>
      </c>
      <c r="AR20" s="54">
        <f t="shared" ca="1" si="14"/>
        <v>0.51048481353055231</v>
      </c>
      <c r="AS20" s="54">
        <f t="shared" ca="1" si="14"/>
        <v>0.38003948043037367</v>
      </c>
      <c r="AT20" s="54">
        <f t="shared" ca="1" si="14"/>
        <v>0.36282982367832861</v>
      </c>
      <c r="AV20" s="8">
        <f t="shared" ca="1" si="15"/>
        <v>5.8651404075264896E-2</v>
      </c>
      <c r="AW20" s="8">
        <f t="shared" ca="1" si="15"/>
        <v>5.0321096967375419E-2</v>
      </c>
      <c r="AX20" s="8">
        <f t="shared" ca="1" si="15"/>
        <v>7.5797469614756932E-2</v>
      </c>
      <c r="AY20" s="8">
        <f t="shared" ca="1" si="15"/>
        <v>6.6028069788537661E-2</v>
      </c>
      <c r="AZ20" s="8">
        <f t="shared" ca="1" si="15"/>
        <v>0.10334507585753662</v>
      </c>
      <c r="BA20" s="8">
        <f t="shared" ca="1" si="15"/>
        <v>0.1073185364044814</v>
      </c>
      <c r="BB20" s="8">
        <f t="shared" ca="1" si="15"/>
        <v>9.0123204559092326E-2</v>
      </c>
      <c r="BC20" s="8">
        <f t="shared" ca="1" si="15"/>
        <v>0.11283940092006871</v>
      </c>
      <c r="BD20" s="8">
        <f t="shared" ca="1" si="15"/>
        <v>8.1694877097649152E-2</v>
      </c>
      <c r="BE20" s="8">
        <f t="shared" ca="1" si="15"/>
        <v>0.102719059497252</v>
      </c>
      <c r="BF20" s="8">
        <f t="shared" ca="1" si="16"/>
        <v>0.11346010992414911</v>
      </c>
      <c r="BG20" s="8">
        <f t="shared" ca="1" si="16"/>
        <v>0.11944399999999998</v>
      </c>
      <c r="BH20" s="8">
        <f t="shared" ca="1" si="16"/>
        <v>7.9396325758815819E-2</v>
      </c>
      <c r="BI20" s="8">
        <f t="shared" ca="1" si="16"/>
        <v>9.0872880354922164E-2</v>
      </c>
      <c r="BJ20" s="8">
        <f t="shared" ca="1" si="16"/>
        <v>6.8600973754021896E-2</v>
      </c>
      <c r="BK20" s="8">
        <f t="shared" ca="1" si="16"/>
        <v>0.10638625693199287</v>
      </c>
      <c r="BL20" s="8">
        <f t="shared" ca="1" si="16"/>
        <v>0.10590689012524161</v>
      </c>
      <c r="BM20" s="8">
        <f t="shared" ca="1" si="16"/>
        <v>0.12005841971307134</v>
      </c>
      <c r="BN20" s="8">
        <f t="shared" ca="1" si="16"/>
        <v>8.2117784090902007E-2</v>
      </c>
      <c r="BO20" s="8">
        <f t="shared" ca="1" si="16"/>
        <v>9.7412058473271154E-2</v>
      </c>
      <c r="BP20" s="48"/>
      <c r="BQ20" s="8">
        <f t="shared" ca="1" si="10"/>
        <v>2.2560000000000004E-2</v>
      </c>
      <c r="BR20" s="8">
        <f t="shared" ca="1" si="10"/>
        <v>7.5200000000000015E-3</v>
      </c>
      <c r="BS20" s="8">
        <f t="shared" ca="1" si="10"/>
        <v>3.0080000000000006E-2</v>
      </c>
      <c r="BT20" s="8">
        <f t="shared" ca="1" si="10"/>
        <v>2.4440000000000003E-2</v>
      </c>
      <c r="BU20" s="8">
        <f t="shared" ca="1" si="10"/>
        <v>4.6248000000000004E-2</v>
      </c>
      <c r="BV20" s="8">
        <f t="shared" ca="1" si="10"/>
        <v>5.3016000000000008E-2</v>
      </c>
      <c r="BW20" s="8">
        <f t="shared" ca="1" si="10"/>
        <v>4.1360000000000008E-2</v>
      </c>
      <c r="BX20" s="8">
        <f t="shared" ca="1" si="10"/>
        <v>5.4520000000000013E-2</v>
      </c>
      <c r="BY20" s="8">
        <f t="shared" ca="1" si="10"/>
        <v>2.3688000000000004E-2</v>
      </c>
      <c r="BZ20" s="8">
        <f t="shared" ca="1" si="10"/>
        <v>2.7072000000000002E-2</v>
      </c>
      <c r="CA20" s="8">
        <f t="shared" ca="1" si="10"/>
        <v>4.2112000000000004E-2</v>
      </c>
      <c r="CB20" s="8">
        <f t="shared" ca="1" si="10"/>
        <v>0.11944399999999998</v>
      </c>
      <c r="CC20" s="8">
        <f t="shared" ca="1" si="10"/>
        <v>3.2712000000000005E-2</v>
      </c>
      <c r="CD20" s="8">
        <f t="shared" ca="1" si="10"/>
        <v>2.7072000000000002E-2</v>
      </c>
      <c r="CE20" s="8">
        <f t="shared" ca="1" si="10"/>
        <v>2.4440000000000003E-2</v>
      </c>
      <c r="CF20" s="8">
        <f t="shared" ca="1" si="10"/>
        <v>4.3992000000000003E-2</v>
      </c>
      <c r="CG20" s="8">
        <f t="shared" ca="1" si="11"/>
        <v>4.6624000000000006E-2</v>
      </c>
      <c r="CH20" s="8">
        <f t="shared" ca="1" si="11"/>
        <v>6.1288000000000009E-2</v>
      </c>
      <c r="CI20" s="8">
        <f t="shared" ca="1" si="11"/>
        <v>3.1208000000000003E-2</v>
      </c>
      <c r="CJ20" s="8">
        <f t="shared" ca="1" si="11"/>
        <v>3.5344000000000007E-2</v>
      </c>
      <c r="CL20" s="48"/>
    </row>
    <row r="21" spans="1:90" x14ac:dyDescent="0.25">
      <c r="A21" s="11">
        <v>13</v>
      </c>
      <c r="B21" s="70" t="s">
        <v>97</v>
      </c>
      <c r="C21" s="69">
        <v>0</v>
      </c>
      <c r="D21" s="68">
        <v>0.87</v>
      </c>
      <c r="E21" s="69">
        <v>0.15</v>
      </c>
      <c r="G21" s="62">
        <v>0</v>
      </c>
      <c r="H21" s="62">
        <v>1</v>
      </c>
      <c r="P21" s="31"/>
      <c r="Q21" s="25"/>
      <c r="R21" s="25"/>
      <c r="S21" s="37">
        <v>1</v>
      </c>
      <c r="T21" s="25"/>
      <c r="U21" s="29">
        <f t="shared" ca="1" si="12"/>
        <v>7.9840904849324421E-2</v>
      </c>
      <c r="V21" s="29">
        <f t="shared" ca="1" si="3"/>
        <v>0.1051354643407614</v>
      </c>
      <c r="X21" s="53">
        <f t="shared" si="4"/>
        <v>0.1109</v>
      </c>
      <c r="Y21" s="53">
        <f t="shared" si="5"/>
        <v>0.22973027662891979</v>
      </c>
      <c r="AA21" s="54">
        <f t="shared" ca="1" si="13"/>
        <v>0.53556971998601055</v>
      </c>
      <c r="AB21" s="54">
        <f t="shared" ca="1" si="13"/>
        <v>0.20807651893162027</v>
      </c>
      <c r="AC21" s="54">
        <f t="shared" ca="1" si="13"/>
        <v>0.55255874577393405</v>
      </c>
      <c r="AD21" s="54">
        <f t="shared" ca="1" si="13"/>
        <v>0.51538044104284009</v>
      </c>
      <c r="AE21" s="54">
        <f t="shared" ca="1" si="13"/>
        <v>0.62310107553058292</v>
      </c>
      <c r="AF21" s="54">
        <f t="shared" ca="1" si="13"/>
        <v>0.68784019245859795</v>
      </c>
      <c r="AG21" s="54">
        <f t="shared" ca="1" si="13"/>
        <v>0.63899761502706098</v>
      </c>
      <c r="AH21" s="54">
        <f t="shared" ca="1" si="13"/>
        <v>0.67274489099570189</v>
      </c>
      <c r="AI21" s="54">
        <f t="shared" ca="1" si="13"/>
        <v>0.40372803083871556</v>
      </c>
      <c r="AJ21" s="54">
        <f t="shared" ca="1" si="13"/>
        <v>0.36696499611018712</v>
      </c>
      <c r="AK21" s="54">
        <f t="shared" ca="1" si="14"/>
        <v>0.51679463980454876</v>
      </c>
      <c r="AL21" s="54">
        <f t="shared" ca="1" si="14"/>
        <v>0.41200899018136</v>
      </c>
      <c r="AM21" s="54">
        <f t="shared" ca="1" si="14"/>
        <v>1</v>
      </c>
      <c r="AN21" s="54">
        <f t="shared" ca="1" si="14"/>
        <v>0.41480251447548</v>
      </c>
      <c r="AO21" s="54">
        <f t="shared" ca="1" si="14"/>
        <v>0.49605091395410267</v>
      </c>
      <c r="AP21" s="54">
        <f t="shared" ca="1" si="14"/>
        <v>0.57576267911220069</v>
      </c>
      <c r="AQ21" s="54">
        <f t="shared" ca="1" si="14"/>
        <v>0.6129720150892991</v>
      </c>
      <c r="AR21" s="54">
        <f t="shared" ca="1" si="14"/>
        <v>0.71078484535403064</v>
      </c>
      <c r="AS21" s="54">
        <f t="shared" ca="1" si="14"/>
        <v>0.52915639440459539</v>
      </c>
      <c r="AT21" s="54">
        <f t="shared" ca="1" si="14"/>
        <v>0.5051941473624193</v>
      </c>
      <c r="AV21" s="8">
        <f t="shared" ca="1" si="15"/>
        <v>3.8986520747560947E-2</v>
      </c>
      <c r="AW21" s="8">
        <f t="shared" ca="1" si="15"/>
        <v>3.3449233175066963E-2</v>
      </c>
      <c r="AX21" s="8">
        <f t="shared" ca="1" si="15"/>
        <v>5.0383783105281021E-2</v>
      </c>
      <c r="AY21" s="8">
        <f t="shared" ca="1" si="15"/>
        <v>4.3889907723758101E-2</v>
      </c>
      <c r="AZ21" s="8">
        <f t="shared" ca="1" si="15"/>
        <v>6.8695114935488688E-2</v>
      </c>
      <c r="BA21" s="8">
        <f t="shared" ca="1" si="15"/>
        <v>7.1336337332386229E-2</v>
      </c>
      <c r="BB21" s="8">
        <f t="shared" ca="1" si="15"/>
        <v>5.9906326877884955E-2</v>
      </c>
      <c r="BC21" s="8">
        <f t="shared" ca="1" si="15"/>
        <v>7.5006143748362397E-2</v>
      </c>
      <c r="BD21" s="8">
        <f t="shared" ca="1" si="15"/>
        <v>5.4303883618024969E-2</v>
      </c>
      <c r="BE21" s="8">
        <f t="shared" ca="1" si="15"/>
        <v>6.8278991908199707E-2</v>
      </c>
      <c r="BF21" s="8">
        <f t="shared" ca="1" si="16"/>
        <v>7.54187388916044E-2</v>
      </c>
      <c r="BG21" s="8">
        <f t="shared" ca="1" si="16"/>
        <v>7.9396325758815819E-2</v>
      </c>
      <c r="BH21" s="8">
        <f t="shared" ca="1" si="16"/>
        <v>5.277600000000001E-2</v>
      </c>
      <c r="BI21" s="8">
        <f t="shared" ca="1" si="16"/>
        <v>6.0404648297958004E-2</v>
      </c>
      <c r="BJ21" s="8">
        <f t="shared" ca="1" si="16"/>
        <v>4.5600157894463492E-2</v>
      </c>
      <c r="BK21" s="8">
        <f t="shared" ca="1" si="16"/>
        <v>7.071663634534664E-2</v>
      </c>
      <c r="BL21" s="8">
        <f t="shared" ca="1" si="16"/>
        <v>7.0397993607772671E-2</v>
      </c>
      <c r="BM21" s="8">
        <f t="shared" ca="1" si="16"/>
        <v>7.9804740310334965E-2</v>
      </c>
      <c r="BN21" s="8">
        <f t="shared" ca="1" si="16"/>
        <v>5.4584996619950442E-2</v>
      </c>
      <c r="BO21" s="8">
        <f t="shared" ca="1" si="16"/>
        <v>6.4751343955164367E-2</v>
      </c>
      <c r="BP21" s="48"/>
      <c r="BQ21" s="8">
        <f t="shared" ca="1" si="10"/>
        <v>2.0880000000000006E-2</v>
      </c>
      <c r="BR21" s="8">
        <f t="shared" ca="1" si="10"/>
        <v>6.9600000000000018E-3</v>
      </c>
      <c r="BS21" s="8">
        <f t="shared" ca="1" si="10"/>
        <v>2.7840000000000011E-2</v>
      </c>
      <c r="BT21" s="8">
        <f t="shared" ca="1" si="10"/>
        <v>2.2620000000000005E-2</v>
      </c>
      <c r="BU21" s="8">
        <f t="shared" ca="1" si="10"/>
        <v>4.2804000000000009E-2</v>
      </c>
      <c r="BV21" s="8">
        <f t="shared" ca="1" si="10"/>
        <v>4.9068000000000007E-2</v>
      </c>
      <c r="BW21" s="8">
        <f t="shared" ca="1" si="10"/>
        <v>3.8280000000000008E-2</v>
      </c>
      <c r="BX21" s="8">
        <f t="shared" ca="1" si="10"/>
        <v>5.0460000000000005E-2</v>
      </c>
      <c r="BY21" s="8">
        <f t="shared" ca="1" si="10"/>
        <v>2.1924000000000006E-2</v>
      </c>
      <c r="BZ21" s="8">
        <f t="shared" ca="1" si="10"/>
        <v>2.5056000000000005E-2</v>
      </c>
      <c r="CA21" s="8">
        <f t="shared" ca="1" si="10"/>
        <v>3.8976000000000011E-2</v>
      </c>
      <c r="CB21" s="8">
        <f t="shared" ca="1" si="10"/>
        <v>3.2712000000000005E-2</v>
      </c>
      <c r="CC21" s="8">
        <f t="shared" ca="1" si="10"/>
        <v>5.277600000000001E-2</v>
      </c>
      <c r="CD21" s="8">
        <f t="shared" ca="1" si="10"/>
        <v>2.5056000000000002E-2</v>
      </c>
      <c r="CE21" s="8">
        <f t="shared" ca="1" si="10"/>
        <v>2.2620000000000005E-2</v>
      </c>
      <c r="CF21" s="8">
        <f t="shared" ca="1" si="10"/>
        <v>4.0716000000000009E-2</v>
      </c>
      <c r="CG21" s="8">
        <f t="shared" ca="1" si="11"/>
        <v>4.315200000000001E-2</v>
      </c>
      <c r="CH21" s="8">
        <f t="shared" ca="1" si="11"/>
        <v>5.6724000000000011E-2</v>
      </c>
      <c r="CI21" s="8">
        <f t="shared" ca="1" si="11"/>
        <v>2.8884000000000003E-2</v>
      </c>
      <c r="CJ21" s="8">
        <f t="shared" ca="1" si="11"/>
        <v>3.2712000000000005E-2</v>
      </c>
      <c r="CL21" s="48"/>
    </row>
    <row r="22" spans="1:90" x14ac:dyDescent="0.25">
      <c r="A22" s="11">
        <v>14</v>
      </c>
      <c r="B22" s="70" t="s">
        <v>98</v>
      </c>
      <c r="C22" s="69">
        <v>0</v>
      </c>
      <c r="D22" s="68">
        <v>0.72</v>
      </c>
      <c r="E22" s="69">
        <v>0.22</v>
      </c>
      <c r="G22" s="62">
        <v>0</v>
      </c>
      <c r="H22" s="62">
        <v>1</v>
      </c>
      <c r="P22" s="31"/>
      <c r="Q22" s="25"/>
      <c r="R22" s="25"/>
      <c r="S22" s="37">
        <v>1</v>
      </c>
      <c r="T22" s="25"/>
      <c r="U22" s="29">
        <f t="shared" ca="1" si="12"/>
        <v>8.6936401365267077E-2</v>
      </c>
      <c r="V22" s="29">
        <f t="shared" ca="1" si="3"/>
        <v>0.11862586090320427</v>
      </c>
      <c r="X22" s="53">
        <f t="shared" si="4"/>
        <v>0.10039999999999999</v>
      </c>
      <c r="Y22" s="53">
        <f t="shared" si="5"/>
        <v>0.26293725487271674</v>
      </c>
      <c r="AA22" s="54">
        <f t="shared" ca="1" si="13"/>
        <v>0.38725351620542986</v>
      </c>
      <c r="AB22" s="54">
        <f t="shared" ca="1" si="13"/>
        <v>0.15045354617538947</v>
      </c>
      <c r="AC22" s="54">
        <f t="shared" ca="1" si="13"/>
        <v>0.39953774312821022</v>
      </c>
      <c r="AD22" s="54">
        <f t="shared" ca="1" si="13"/>
        <v>0.37265528749937238</v>
      </c>
      <c r="AE22" s="54">
        <f t="shared" ca="1" si="13"/>
        <v>0.45054466943520677</v>
      </c>
      <c r="AF22" s="54">
        <f t="shared" ca="1" si="13"/>
        <v>0.49735547619079251</v>
      </c>
      <c r="AG22" s="54">
        <f t="shared" ca="1" si="13"/>
        <v>0.46203895409280554</v>
      </c>
      <c r="AH22" s="54">
        <f t="shared" ca="1" si="13"/>
        <v>0.48644054139978138</v>
      </c>
      <c r="AI22" s="54">
        <f t="shared" ca="1" si="13"/>
        <v>0.29192296296562603</v>
      </c>
      <c r="AJ22" s="54">
        <f t="shared" ca="1" si="13"/>
        <v>0.26534077593425909</v>
      </c>
      <c r="AK22" s="54">
        <f t="shared" ca="1" si="14"/>
        <v>0.37367784987108255</v>
      </c>
      <c r="AL22" s="54">
        <f t="shared" ca="1" si="14"/>
        <v>0.29791066261204557</v>
      </c>
      <c r="AM22" s="54">
        <f t="shared" ca="1" si="14"/>
        <v>0.41480251447548</v>
      </c>
      <c r="AN22" s="54">
        <f t="shared" ca="1" si="14"/>
        <v>1</v>
      </c>
      <c r="AO22" s="54">
        <f t="shared" ca="1" si="14"/>
        <v>0.35867871815206653</v>
      </c>
      <c r="AP22" s="54">
        <f t="shared" ca="1" si="14"/>
        <v>0.41631577302742656</v>
      </c>
      <c r="AQ22" s="54">
        <f t="shared" ca="1" si="14"/>
        <v>0.44322066636825419</v>
      </c>
      <c r="AR22" s="54">
        <f t="shared" ca="1" si="14"/>
        <v>0.51394602860682814</v>
      </c>
      <c r="AS22" s="54">
        <f t="shared" ca="1" si="14"/>
        <v>0.38261624342974332</v>
      </c>
      <c r="AT22" s="54">
        <f t="shared" ca="1" si="14"/>
        <v>0.36528990088836838</v>
      </c>
      <c r="AV22" s="8">
        <f t="shared" ca="1" si="15"/>
        <v>4.4621931827297664E-2</v>
      </c>
      <c r="AW22" s="8">
        <f t="shared" ca="1" si="15"/>
        <v>3.8284242189182749E-2</v>
      </c>
      <c r="AX22" s="8">
        <f t="shared" ca="1" si="15"/>
        <v>5.7666642003848301E-2</v>
      </c>
      <c r="AY22" s="8">
        <f t="shared" ca="1" si="15"/>
        <v>5.0234092009311775E-2</v>
      </c>
      <c r="AZ22" s="8">
        <f t="shared" ca="1" si="15"/>
        <v>7.862483434640738E-2</v>
      </c>
      <c r="BA22" s="8">
        <f t="shared" ca="1" si="15"/>
        <v>8.1647839310051568E-2</v>
      </c>
      <c r="BB22" s="8">
        <f t="shared" ca="1" si="15"/>
        <v>6.8565647375343888E-2</v>
      </c>
      <c r="BC22" s="8">
        <f t="shared" ca="1" si="15"/>
        <v>8.5848107725214326E-2</v>
      </c>
      <c r="BD22" s="8">
        <f t="shared" ca="1" si="15"/>
        <v>6.2153383946491607E-2</v>
      </c>
      <c r="BE22" s="8">
        <f t="shared" ca="1" si="15"/>
        <v>7.8148561701415847E-2</v>
      </c>
      <c r="BF22" s="8">
        <f t="shared" ca="1" si="16"/>
        <v>8.6320342538708697E-2</v>
      </c>
      <c r="BG22" s="8">
        <f t="shared" ca="1" si="16"/>
        <v>9.0872880354922164E-2</v>
      </c>
      <c r="BH22" s="8">
        <f t="shared" ca="1" si="16"/>
        <v>6.0404648297958004E-2</v>
      </c>
      <c r="BI22" s="8">
        <f t="shared" ca="1" si="16"/>
        <v>6.9136000000000003E-2</v>
      </c>
      <c r="BJ22" s="8">
        <f t="shared" ca="1" si="16"/>
        <v>5.2191554872412074E-2</v>
      </c>
      <c r="BK22" s="8">
        <f t="shared" ca="1" si="16"/>
        <v>8.0938561983766436E-2</v>
      </c>
      <c r="BL22" s="8">
        <f t="shared" ca="1" si="16"/>
        <v>8.0573860178099949E-2</v>
      </c>
      <c r="BM22" s="8">
        <f t="shared" ca="1" si="16"/>
        <v>9.1340330281864002E-2</v>
      </c>
      <c r="BN22" s="8">
        <f t="shared" ca="1" si="16"/>
        <v>6.2475131180334473E-2</v>
      </c>
      <c r="BO22" s="8">
        <f t="shared" ca="1" si="16"/>
        <v>7.4111000425038126E-2</v>
      </c>
      <c r="BP22" s="48"/>
      <c r="BQ22" s="8">
        <f t="shared" ca="1" si="10"/>
        <v>1.7280000000000004E-2</v>
      </c>
      <c r="BR22" s="8">
        <f t="shared" ca="1" si="10"/>
        <v>5.7600000000000004E-3</v>
      </c>
      <c r="BS22" s="8">
        <f t="shared" ca="1" si="10"/>
        <v>2.3040000000000001E-2</v>
      </c>
      <c r="BT22" s="8">
        <f t="shared" ca="1" si="10"/>
        <v>1.8720000000000004E-2</v>
      </c>
      <c r="BU22" s="8">
        <f t="shared" ca="1" si="10"/>
        <v>3.5424000000000004E-2</v>
      </c>
      <c r="BV22" s="8">
        <f t="shared" ca="1" si="10"/>
        <v>4.0608000000000005E-2</v>
      </c>
      <c r="BW22" s="8">
        <f t="shared" ca="1" si="10"/>
        <v>3.1680000000000007E-2</v>
      </c>
      <c r="BX22" s="8">
        <f t="shared" ca="1" si="10"/>
        <v>4.1760000000000012E-2</v>
      </c>
      <c r="BY22" s="8">
        <f t="shared" ca="1" si="10"/>
        <v>1.8144000000000004E-2</v>
      </c>
      <c r="BZ22" s="8">
        <f t="shared" ca="1" si="10"/>
        <v>2.0736000000000004E-2</v>
      </c>
      <c r="CA22" s="8">
        <f t="shared" ca="1" si="10"/>
        <v>3.2256000000000007E-2</v>
      </c>
      <c r="CB22" s="8">
        <f t="shared" ca="1" si="10"/>
        <v>2.7072000000000002E-2</v>
      </c>
      <c r="CC22" s="8">
        <f t="shared" ca="1" si="10"/>
        <v>2.5056000000000002E-2</v>
      </c>
      <c r="CD22" s="8">
        <f t="shared" ca="1" si="10"/>
        <v>6.9136000000000003E-2</v>
      </c>
      <c r="CE22" s="8">
        <f t="shared" ca="1" si="10"/>
        <v>1.8720000000000004E-2</v>
      </c>
      <c r="CF22" s="8">
        <f t="shared" ca="1" si="10"/>
        <v>3.3696000000000004E-2</v>
      </c>
      <c r="CG22" s="8">
        <f t="shared" ca="1" si="11"/>
        <v>3.5712000000000001E-2</v>
      </c>
      <c r="CH22" s="8">
        <f t="shared" ca="1" si="11"/>
        <v>4.6944000000000007E-2</v>
      </c>
      <c r="CI22" s="8">
        <f t="shared" ca="1" si="11"/>
        <v>2.3904000000000002E-2</v>
      </c>
      <c r="CJ22" s="8">
        <f t="shared" ca="1" si="11"/>
        <v>2.7072000000000002E-2</v>
      </c>
      <c r="CL22" s="48"/>
    </row>
    <row r="23" spans="1:90" x14ac:dyDescent="0.25">
      <c r="A23" s="11">
        <v>15</v>
      </c>
      <c r="B23" s="70" t="s">
        <v>99</v>
      </c>
      <c r="C23" s="69">
        <v>0</v>
      </c>
      <c r="D23" s="68">
        <v>0.65</v>
      </c>
      <c r="E23" s="69">
        <v>0.15</v>
      </c>
      <c r="G23" s="62">
        <v>0</v>
      </c>
      <c r="H23" s="62">
        <v>1</v>
      </c>
      <c r="P23" s="31"/>
      <c r="Q23" s="25"/>
      <c r="R23" s="25"/>
      <c r="S23" s="37">
        <v>1</v>
      </c>
      <c r="T23" s="25"/>
      <c r="U23" s="29">
        <f t="shared" ca="1" si="12"/>
        <v>9.4031897881209733E-2</v>
      </c>
      <c r="V23" s="29">
        <f t="shared" ca="1" si="3"/>
        <v>0.13449955523882373</v>
      </c>
      <c r="X23" s="53">
        <f t="shared" si="4"/>
        <v>9.5500000000000002E-2</v>
      </c>
      <c r="Y23" s="53">
        <f t="shared" si="5"/>
        <v>0.1984943324127921</v>
      </c>
      <c r="AA23" s="54">
        <f t="shared" ca="1" si="13"/>
        <v>0.46310582492141272</v>
      </c>
      <c r="AB23" s="54">
        <f t="shared" ca="1" si="13"/>
        <v>0.17992325620858662</v>
      </c>
      <c r="AC23" s="54">
        <f t="shared" ca="1" si="13"/>
        <v>0.47779619390331302</v>
      </c>
      <c r="AD23" s="54">
        <f t="shared" ca="1" si="13"/>
        <v>0.44564820487562373</v>
      </c>
      <c r="AE23" s="54">
        <f t="shared" ca="1" si="13"/>
        <v>0.53879397364090631</v>
      </c>
      <c r="AF23" s="54">
        <f t="shared" ca="1" si="13"/>
        <v>0.59477372946133489</v>
      </c>
      <c r="AG23" s="54">
        <f t="shared" ca="1" si="13"/>
        <v>0.55253967240278667</v>
      </c>
      <c r="AH23" s="54">
        <f t="shared" ca="1" si="13"/>
        <v>0.58172085926435202</v>
      </c>
      <c r="AI23" s="54">
        <f t="shared" ca="1" si="13"/>
        <v>0.34910263927980228</v>
      </c>
      <c r="AJ23" s="54">
        <f t="shared" ca="1" si="13"/>
        <v>0.31731373320607126</v>
      </c>
      <c r="AK23" s="54">
        <f t="shared" ca="1" si="14"/>
        <v>0.44687105908060198</v>
      </c>
      <c r="AL23" s="54">
        <f t="shared" ca="1" si="14"/>
        <v>0.35626316453805656</v>
      </c>
      <c r="AM23" s="54">
        <f t="shared" ca="1" si="14"/>
        <v>0.49605091395410267</v>
      </c>
      <c r="AN23" s="54">
        <f t="shared" ca="1" si="14"/>
        <v>0.35867871815206653</v>
      </c>
      <c r="AO23" s="54">
        <f t="shared" ca="1" si="14"/>
        <v>1</v>
      </c>
      <c r="AP23" s="54">
        <f t="shared" ca="1" si="14"/>
        <v>0.49786057821973795</v>
      </c>
      <c r="AQ23" s="54">
        <f t="shared" ca="1" si="14"/>
        <v>0.53003539988983228</v>
      </c>
      <c r="AR23" s="54">
        <f t="shared" ca="1" si="14"/>
        <v>0.61461391461398385</v>
      </c>
      <c r="AS23" s="54">
        <f t="shared" ca="1" si="14"/>
        <v>0.45756023800147189</v>
      </c>
      <c r="AT23" s="54">
        <f t="shared" ca="1" si="14"/>
        <v>0.43684014168286833</v>
      </c>
      <c r="AV23" s="8">
        <f t="shared" ca="1" si="15"/>
        <v>3.3685605234283683E-2</v>
      </c>
      <c r="AW23" s="8">
        <f t="shared" ca="1" si="15"/>
        <v>2.8901211047290046E-2</v>
      </c>
      <c r="AX23" s="8">
        <f t="shared" ca="1" si="15"/>
        <v>4.3533205717015612E-2</v>
      </c>
      <c r="AY23" s="8">
        <f t="shared" ca="1" si="15"/>
        <v>3.7922288960451751E-2</v>
      </c>
      <c r="AZ23" s="8">
        <f t="shared" ca="1" si="15"/>
        <v>5.9354784137422324E-2</v>
      </c>
      <c r="BA23" s="8">
        <f t="shared" ca="1" si="15"/>
        <v>6.1636885060814044E-2</v>
      </c>
      <c r="BB23" s="8">
        <f t="shared" ca="1" si="15"/>
        <v>5.1760989171382742E-2</v>
      </c>
      <c r="BC23" s="8">
        <f t="shared" ca="1" si="15"/>
        <v>6.4807715590043766E-2</v>
      </c>
      <c r="BD23" s="8">
        <f t="shared" ca="1" si="15"/>
        <v>4.6920298379272918E-2</v>
      </c>
      <c r="BE23" s="8">
        <f t="shared" ca="1" si="15"/>
        <v>5.8995240485991758E-2</v>
      </c>
      <c r="BF23" s="8">
        <f t="shared" ca="1" si="16"/>
        <v>6.5164211036427055E-2</v>
      </c>
      <c r="BG23" s="8">
        <f t="shared" ca="1" si="16"/>
        <v>6.8600973754021896E-2</v>
      </c>
      <c r="BH23" s="8">
        <f t="shared" ca="1" si="16"/>
        <v>4.5600157894463492E-2</v>
      </c>
      <c r="BI23" s="8">
        <f t="shared" ca="1" si="16"/>
        <v>5.2191554872412074E-2</v>
      </c>
      <c r="BJ23" s="8">
        <f t="shared" ca="1" si="16"/>
        <v>3.9400000000000011E-2</v>
      </c>
      <c r="BK23" s="8">
        <f t="shared" ca="1" si="16"/>
        <v>6.110144351813631E-2</v>
      </c>
      <c r="BL23" s="8">
        <f t="shared" ca="1" si="16"/>
        <v>6.0826125965739435E-2</v>
      </c>
      <c r="BM23" s="8">
        <f t="shared" ca="1" si="16"/>
        <v>6.8953857034976668E-2</v>
      </c>
      <c r="BN23" s="8">
        <f t="shared" ca="1" si="16"/>
        <v>4.7163189035517951E-2</v>
      </c>
      <c r="BO23" s="8">
        <f t="shared" ca="1" si="16"/>
        <v>5.5947239431450066E-2</v>
      </c>
      <c r="BP23" s="48"/>
      <c r="BQ23" s="8">
        <f t="shared" ca="1" si="10"/>
        <v>1.5600000000000003E-2</v>
      </c>
      <c r="BR23" s="8">
        <f t="shared" ca="1" si="10"/>
        <v>5.2000000000000015E-3</v>
      </c>
      <c r="BS23" s="8">
        <f t="shared" ca="1" si="10"/>
        <v>2.0800000000000006E-2</v>
      </c>
      <c r="BT23" s="8">
        <f t="shared" ca="1" si="10"/>
        <v>1.6900000000000005E-2</v>
      </c>
      <c r="BU23" s="8">
        <f t="shared" ca="1" si="10"/>
        <v>3.1980000000000008E-2</v>
      </c>
      <c r="BV23" s="8">
        <f t="shared" ca="1" si="10"/>
        <v>3.6660000000000005E-2</v>
      </c>
      <c r="BW23" s="8">
        <f t="shared" ca="1" si="10"/>
        <v>2.8600000000000007E-2</v>
      </c>
      <c r="BX23" s="8">
        <f t="shared" ca="1" si="10"/>
        <v>3.7700000000000004E-2</v>
      </c>
      <c r="BY23" s="8">
        <f t="shared" ca="1" si="10"/>
        <v>1.6380000000000006E-2</v>
      </c>
      <c r="BZ23" s="8">
        <f t="shared" ca="1" si="10"/>
        <v>1.8720000000000004E-2</v>
      </c>
      <c r="CA23" s="8">
        <f t="shared" ca="1" si="10"/>
        <v>2.912000000000001E-2</v>
      </c>
      <c r="CB23" s="8">
        <f t="shared" ca="1" si="10"/>
        <v>2.4440000000000003E-2</v>
      </c>
      <c r="CC23" s="8">
        <f t="shared" ca="1" si="10"/>
        <v>2.2620000000000005E-2</v>
      </c>
      <c r="CD23" s="8">
        <f t="shared" ca="1" si="10"/>
        <v>1.8720000000000004E-2</v>
      </c>
      <c r="CE23" s="8">
        <f t="shared" ca="1" si="10"/>
        <v>3.9400000000000011E-2</v>
      </c>
      <c r="CF23" s="8">
        <f t="shared" ca="1" si="10"/>
        <v>3.0420000000000003E-2</v>
      </c>
      <c r="CG23" s="8">
        <f t="shared" ca="1" si="11"/>
        <v>3.2240000000000012E-2</v>
      </c>
      <c r="CH23" s="8">
        <f t="shared" ca="1" si="11"/>
        <v>4.2380000000000001E-2</v>
      </c>
      <c r="CI23" s="8">
        <f t="shared" ca="1" si="11"/>
        <v>2.1580000000000002E-2</v>
      </c>
      <c r="CJ23" s="8">
        <f t="shared" ca="1" si="11"/>
        <v>2.4440000000000003E-2</v>
      </c>
      <c r="CL23" s="48"/>
    </row>
    <row r="24" spans="1:90" x14ac:dyDescent="0.25">
      <c r="A24" s="11">
        <v>16</v>
      </c>
      <c r="B24" s="70" t="s">
        <v>100</v>
      </c>
      <c r="C24" s="69">
        <v>0</v>
      </c>
      <c r="D24" s="68">
        <v>1.17</v>
      </c>
      <c r="E24" s="69">
        <v>0.2</v>
      </c>
      <c r="G24" s="62">
        <v>0</v>
      </c>
      <c r="H24" s="62">
        <v>1</v>
      </c>
      <c r="P24" s="31"/>
      <c r="Q24" s="25"/>
      <c r="R24" s="25"/>
      <c r="S24" s="37">
        <v>1</v>
      </c>
      <c r="T24" s="25"/>
      <c r="U24" s="29">
        <f t="shared" ca="1" si="12"/>
        <v>0.10112739439715239</v>
      </c>
      <c r="V24" s="29">
        <f t="shared" ca="1" si="3"/>
        <v>0.15201175058327773</v>
      </c>
      <c r="X24" s="53">
        <f t="shared" si="4"/>
        <v>0.13189999999999999</v>
      </c>
      <c r="Y24" s="53">
        <f t="shared" si="5"/>
        <v>0.30782462539569511</v>
      </c>
      <c r="AA24" s="54">
        <f t="shared" ca="1" si="13"/>
        <v>0.53752355447507394</v>
      </c>
      <c r="AB24" s="54">
        <f t="shared" ca="1" si="13"/>
        <v>0.20883561165826564</v>
      </c>
      <c r="AC24" s="54">
        <f t="shared" ca="1" si="13"/>
        <v>0.55457455864467475</v>
      </c>
      <c r="AD24" s="54">
        <f t="shared" ca="1" si="13"/>
        <v>0.51726062217168467</v>
      </c>
      <c r="AE24" s="54">
        <f t="shared" ca="1" si="13"/>
        <v>0.62537423685041238</v>
      </c>
      <c r="AF24" s="54">
        <f t="shared" ca="1" si="13"/>
        <v>0.69034953128198162</v>
      </c>
      <c r="AG24" s="54">
        <f t="shared" ca="1" si="13"/>
        <v>0.64132876918324022</v>
      </c>
      <c r="AH24" s="54">
        <f t="shared" ca="1" si="13"/>
        <v>0.67519916001300739</v>
      </c>
      <c r="AI24" s="54">
        <f t="shared" ca="1" si="13"/>
        <v>0.40520088809971783</v>
      </c>
      <c r="AJ24" s="54">
        <f t="shared" ca="1" si="13"/>
        <v>0.36830373659330828</v>
      </c>
      <c r="AK24" s="54">
        <f t="shared" ca="1" si="14"/>
        <v>0.51867998013155536</v>
      </c>
      <c r="AL24" s="54">
        <f t="shared" ca="1" si="14"/>
        <v>0.41351205755948128</v>
      </c>
      <c r="AM24" s="54">
        <f t="shared" ca="1" si="14"/>
        <v>0.57576267911220069</v>
      </c>
      <c r="AN24" s="54">
        <f t="shared" ca="1" si="14"/>
        <v>0.41631577302742656</v>
      </c>
      <c r="AO24" s="54">
        <f t="shared" ca="1" si="14"/>
        <v>0.49786057821973795</v>
      </c>
      <c r="AP24" s="54">
        <f t="shared" ca="1" si="14"/>
        <v>1</v>
      </c>
      <c r="AQ24" s="54">
        <f t="shared" ca="1" si="14"/>
        <v>0.61520822415642762</v>
      </c>
      <c r="AR24" s="54">
        <f t="shared" ca="1" si="14"/>
        <v>0.71337788953358705</v>
      </c>
      <c r="AS24" s="54">
        <f t="shared" ca="1" si="14"/>
        <v>0.53108683217005237</v>
      </c>
      <c r="AT24" s="54">
        <f t="shared" ca="1" si="14"/>
        <v>0.50703716744356853</v>
      </c>
      <c r="AV24" s="8">
        <f t="shared" ca="1" si="15"/>
        <v>5.2239571208041138E-2</v>
      </c>
      <c r="AW24" s="8">
        <f t="shared" ca="1" si="15"/>
        <v>4.4819941990145419E-2</v>
      </c>
      <c r="AX24" s="8">
        <f t="shared" ca="1" si="15"/>
        <v>6.7511210920853743E-2</v>
      </c>
      <c r="AY24" s="8">
        <f t="shared" ca="1" si="15"/>
        <v>5.8809812106484421E-2</v>
      </c>
      <c r="AZ24" s="8">
        <f t="shared" ca="1" si="15"/>
        <v>9.2047284022941184E-2</v>
      </c>
      <c r="BA24" s="8">
        <f t="shared" ca="1" si="15"/>
        <v>9.5586361705004771E-2</v>
      </c>
      <c r="BB24" s="8">
        <f t="shared" ca="1" si="15"/>
        <v>8.027084153040881E-2</v>
      </c>
      <c r="BC24" s="8">
        <f t="shared" ca="1" si="15"/>
        <v>0.10050367953463199</v>
      </c>
      <c r="BD24" s="8">
        <f t="shared" ca="1" si="15"/>
        <v>7.2763907646579848E-2</v>
      </c>
      <c r="BE24" s="8">
        <f t="shared" ca="1" si="15"/>
        <v>9.1489704426235857E-2</v>
      </c>
      <c r="BF24" s="8">
        <f t="shared" ca="1" si="16"/>
        <v>0.10105653198086705</v>
      </c>
      <c r="BG24" s="8">
        <f t="shared" ca="1" si="16"/>
        <v>0.10638625693199287</v>
      </c>
      <c r="BH24" s="8">
        <f t="shared" ca="1" si="16"/>
        <v>7.071663634534664E-2</v>
      </c>
      <c r="BI24" s="8">
        <f t="shared" ca="1" si="16"/>
        <v>8.0938561983766436E-2</v>
      </c>
      <c r="BJ24" s="8">
        <f t="shared" ca="1" si="16"/>
        <v>6.110144351813631E-2</v>
      </c>
      <c r="BK24" s="8">
        <f t="shared" ca="1" si="16"/>
        <v>9.4756000000000021E-2</v>
      </c>
      <c r="BL24" s="8">
        <f t="shared" ca="1" si="16"/>
        <v>9.4329038074179486E-2</v>
      </c>
      <c r="BM24" s="8">
        <f t="shared" ca="1" si="16"/>
        <v>0.10693350763909319</v>
      </c>
      <c r="BN24" s="8">
        <f t="shared" ca="1" si="16"/>
        <v>7.3140582004794036E-2</v>
      </c>
      <c r="BO24" s="8">
        <f t="shared" ca="1" si="16"/>
        <v>8.6762870307522694E-2</v>
      </c>
      <c r="BP24" s="48"/>
      <c r="BQ24" s="8">
        <f t="shared" ca="1" si="10"/>
        <v>2.8080000000000004E-2</v>
      </c>
      <c r="BR24" s="8">
        <f t="shared" ca="1" si="10"/>
        <v>9.360000000000002E-3</v>
      </c>
      <c r="BS24" s="8">
        <f t="shared" ca="1" si="10"/>
        <v>3.7440000000000008E-2</v>
      </c>
      <c r="BT24" s="8">
        <f t="shared" ca="1" si="10"/>
        <v>3.0420000000000006E-2</v>
      </c>
      <c r="BU24" s="8">
        <f t="shared" ca="1" si="10"/>
        <v>5.7563999999999997E-2</v>
      </c>
      <c r="BV24" s="8">
        <f t="shared" ca="1" si="10"/>
        <v>6.5988000000000005E-2</v>
      </c>
      <c r="BW24" s="8">
        <f t="shared" ca="1" si="10"/>
        <v>5.1480000000000005E-2</v>
      </c>
      <c r="BX24" s="8">
        <f t="shared" ca="1" si="10"/>
        <v>6.7860000000000004E-2</v>
      </c>
      <c r="BY24" s="8">
        <f t="shared" ca="1" si="10"/>
        <v>2.9484000000000003E-2</v>
      </c>
      <c r="BZ24" s="8">
        <f t="shared" ca="1" si="10"/>
        <v>3.3696000000000004E-2</v>
      </c>
      <c r="CA24" s="8">
        <f t="shared" ca="1" si="10"/>
        <v>5.2416000000000011E-2</v>
      </c>
      <c r="CB24" s="8">
        <f t="shared" ca="1" si="10"/>
        <v>4.3992000000000003E-2</v>
      </c>
      <c r="CC24" s="8">
        <f t="shared" ca="1" si="10"/>
        <v>4.0716000000000009E-2</v>
      </c>
      <c r="CD24" s="8">
        <f t="shared" ca="1" si="10"/>
        <v>3.3696000000000004E-2</v>
      </c>
      <c r="CE24" s="8">
        <f t="shared" ca="1" si="10"/>
        <v>3.0420000000000003E-2</v>
      </c>
      <c r="CF24" s="8">
        <f t="shared" ref="CF24:CF28" ca="1" si="17">AP24*BK24</f>
        <v>9.4756000000000021E-2</v>
      </c>
      <c r="CG24" s="8">
        <f t="shared" ca="1" si="11"/>
        <v>5.8032000000000007E-2</v>
      </c>
      <c r="CH24" s="8">
        <f t="shared" ca="1" si="11"/>
        <v>7.6284000000000005E-2</v>
      </c>
      <c r="CI24" s="8">
        <f t="shared" ca="1" si="11"/>
        <v>3.8844000000000004E-2</v>
      </c>
      <c r="CJ24" s="8">
        <f t="shared" ca="1" si="11"/>
        <v>4.3992000000000003E-2</v>
      </c>
      <c r="CL24" s="48"/>
    </row>
    <row r="25" spans="1:90" x14ac:dyDescent="0.25">
      <c r="A25" s="11">
        <v>17</v>
      </c>
      <c r="B25" s="70" t="s">
        <v>101</v>
      </c>
      <c r="C25" s="69">
        <v>0</v>
      </c>
      <c r="D25" s="68">
        <v>1.24</v>
      </c>
      <c r="E25" s="69">
        <v>0.18</v>
      </c>
      <c r="G25" s="62">
        <v>0</v>
      </c>
      <c r="H25" s="62">
        <v>1</v>
      </c>
      <c r="P25" s="31"/>
      <c r="Q25" s="25"/>
      <c r="R25" s="25"/>
      <c r="S25" s="37">
        <v>1</v>
      </c>
      <c r="T25" s="25"/>
      <c r="U25" s="29">
        <f t="shared" ca="1" si="12"/>
        <v>0.10822289091309505</v>
      </c>
      <c r="V25" s="29">
        <f t="shared" ca="1" si="3"/>
        <v>0.1706587845464746</v>
      </c>
      <c r="X25" s="53">
        <f t="shared" si="4"/>
        <v>0.13679999999999998</v>
      </c>
      <c r="Y25" s="53">
        <f t="shared" si="5"/>
        <v>0.30643759560471689</v>
      </c>
      <c r="AA25" s="54">
        <f t="shared" ca="1" si="13"/>
        <v>0.57226164233604404</v>
      </c>
      <c r="AB25" s="54">
        <f t="shared" ca="1" si="13"/>
        <v>0.22233185710813952</v>
      </c>
      <c r="AC25" s="54">
        <f t="shared" ca="1" si="13"/>
        <v>0.59041458757600374</v>
      </c>
      <c r="AD25" s="54">
        <f t="shared" ca="1" si="13"/>
        <v>0.55068919435317287</v>
      </c>
      <c r="AE25" s="54">
        <f t="shared" ca="1" si="13"/>
        <v>0.66578977772268544</v>
      </c>
      <c r="AF25" s="54">
        <f t="shared" ca="1" si="13"/>
        <v>0.73496417648738566</v>
      </c>
      <c r="AG25" s="54">
        <f t="shared" ca="1" si="13"/>
        <v>0.68277539035207757</v>
      </c>
      <c r="AH25" s="54">
        <f t="shared" ca="1" si="13"/>
        <v>0.71883469477034578</v>
      </c>
      <c r="AI25" s="54">
        <f t="shared" ca="1" si="13"/>
        <v>0.43138746901317593</v>
      </c>
      <c r="AJ25" s="54">
        <f t="shared" ca="1" si="13"/>
        <v>0.39210579597244793</v>
      </c>
      <c r="AK25" s="54">
        <f t="shared" ca="1" si="14"/>
        <v>0.55220027997986976</v>
      </c>
      <c r="AL25" s="54">
        <f t="shared" ca="1" si="14"/>
        <v>0.44023575751175553</v>
      </c>
      <c r="AM25" s="54">
        <f t="shared" ca="1" si="14"/>
        <v>0.6129720150892991</v>
      </c>
      <c r="AN25" s="54">
        <f t="shared" ca="1" si="14"/>
        <v>0.44322066636825419</v>
      </c>
      <c r="AO25" s="54">
        <f t="shared" ca="1" si="14"/>
        <v>0.53003539988983228</v>
      </c>
      <c r="AP25" s="54">
        <f t="shared" ca="1" si="14"/>
        <v>0.61520822415642762</v>
      </c>
      <c r="AQ25" s="54">
        <f t="shared" ca="1" si="14"/>
        <v>1</v>
      </c>
      <c r="AR25" s="54">
        <f t="shared" ca="1" si="14"/>
        <v>0.75948076930206865</v>
      </c>
      <c r="AS25" s="54">
        <f t="shared" ca="1" si="14"/>
        <v>0.56540893933007097</v>
      </c>
      <c r="AT25" s="54">
        <f t="shared" ca="1" si="14"/>
        <v>0.53980503691606607</v>
      </c>
      <c r="AV25" s="8">
        <f t="shared" ca="1" si="15"/>
        <v>5.2004184447023115E-2</v>
      </c>
      <c r="AW25" s="8">
        <f t="shared" ca="1" si="15"/>
        <v>4.4617987404184878E-2</v>
      </c>
      <c r="AX25" s="8">
        <f t="shared" ca="1" si="15"/>
        <v>6.7207011538975611E-2</v>
      </c>
      <c r="AY25" s="8">
        <f t="shared" ca="1" si="15"/>
        <v>5.8544820436995118E-2</v>
      </c>
      <c r="AZ25" s="8">
        <f t="shared" ca="1" si="15"/>
        <v>9.1632527325180776E-2</v>
      </c>
      <c r="BA25" s="8">
        <f t="shared" ca="1" si="15"/>
        <v>9.5155658244793842E-2</v>
      </c>
      <c r="BB25" s="8">
        <f t="shared" ca="1" si="15"/>
        <v>7.9909148412431491E-2</v>
      </c>
      <c r="BC25" s="8">
        <f t="shared" ca="1" si="15"/>
        <v>0.10005081908710195</v>
      </c>
      <c r="BD25" s="8">
        <f t="shared" ca="1" si="15"/>
        <v>7.2436040090551615E-2</v>
      </c>
      <c r="BE25" s="8">
        <f t="shared" ca="1" si="15"/>
        <v>9.1077460131472707E-2</v>
      </c>
      <c r="BF25" s="8">
        <f t="shared" ca="1" si="16"/>
        <v>0.10060118043045023</v>
      </c>
      <c r="BG25" s="8">
        <f t="shared" ca="1" si="16"/>
        <v>0.10590689012524161</v>
      </c>
      <c r="BH25" s="8">
        <f t="shared" ca="1" si="16"/>
        <v>7.0397993607772671E-2</v>
      </c>
      <c r="BI25" s="8">
        <f t="shared" ca="1" si="16"/>
        <v>8.0573860178099949E-2</v>
      </c>
      <c r="BJ25" s="8">
        <f t="shared" ca="1" si="16"/>
        <v>6.0826125965739435E-2</v>
      </c>
      <c r="BK25" s="8">
        <f t="shared" ca="1" si="16"/>
        <v>9.4329038074179486E-2</v>
      </c>
      <c r="BL25" s="8">
        <f t="shared" ca="1" si="16"/>
        <v>9.3904000000000001E-2</v>
      </c>
      <c r="BM25" s="8">
        <f t="shared" ca="1" si="16"/>
        <v>0.1064516749703827</v>
      </c>
      <c r="BN25" s="8">
        <f t="shared" ca="1" si="16"/>
        <v>7.2811017188334909E-2</v>
      </c>
      <c r="BO25" s="8">
        <f t="shared" ca="1" si="16"/>
        <v>8.6371924697785915E-2</v>
      </c>
      <c r="BP25" s="48"/>
      <c r="BQ25" s="8">
        <f t="shared" ref="BQ25:CE28" ca="1" si="18">AA25*AV25</f>
        <v>2.9760000000000005E-2</v>
      </c>
      <c r="BR25" s="8">
        <f t="shared" ca="1" si="18"/>
        <v>9.9200000000000017E-3</v>
      </c>
      <c r="BS25" s="8">
        <f t="shared" ca="1" si="18"/>
        <v>3.9680000000000007E-2</v>
      </c>
      <c r="BT25" s="8">
        <f t="shared" ca="1" si="18"/>
        <v>3.2240000000000012E-2</v>
      </c>
      <c r="BU25" s="8">
        <f t="shared" ca="1" si="18"/>
        <v>6.1008000000000007E-2</v>
      </c>
      <c r="BV25" s="8">
        <f t="shared" ca="1" si="18"/>
        <v>6.9936000000000012E-2</v>
      </c>
      <c r="BW25" s="8">
        <f t="shared" ca="1" si="18"/>
        <v>5.4560000000000011E-2</v>
      </c>
      <c r="BX25" s="8">
        <f t="shared" ca="1" si="18"/>
        <v>7.1920000000000012E-2</v>
      </c>
      <c r="BY25" s="8">
        <f t="shared" ca="1" si="18"/>
        <v>3.1248000000000005E-2</v>
      </c>
      <c r="BZ25" s="8">
        <f t="shared" ca="1" si="18"/>
        <v>3.5712000000000001E-2</v>
      </c>
      <c r="CA25" s="8">
        <f t="shared" ca="1" si="18"/>
        <v>5.5552000000000011E-2</v>
      </c>
      <c r="CB25" s="8">
        <f t="shared" ca="1" si="18"/>
        <v>4.6624000000000006E-2</v>
      </c>
      <c r="CC25" s="8">
        <f t="shared" ca="1" si="18"/>
        <v>4.315200000000001E-2</v>
      </c>
      <c r="CD25" s="8">
        <f t="shared" ca="1" si="18"/>
        <v>3.5712000000000001E-2</v>
      </c>
      <c r="CE25" s="8">
        <f t="shared" ca="1" si="18"/>
        <v>3.2240000000000012E-2</v>
      </c>
      <c r="CF25" s="8">
        <f t="shared" ca="1" si="17"/>
        <v>5.8032000000000007E-2</v>
      </c>
      <c r="CG25" s="8">
        <f t="shared" ca="1" si="11"/>
        <v>9.3904000000000001E-2</v>
      </c>
      <c r="CH25" s="8">
        <f t="shared" ca="1" si="11"/>
        <v>8.0848000000000017E-2</v>
      </c>
      <c r="CI25" s="8">
        <f t="shared" ca="1" si="11"/>
        <v>4.116800000000001E-2</v>
      </c>
      <c r="CJ25" s="8">
        <f t="shared" ca="1" si="11"/>
        <v>4.6624000000000006E-2</v>
      </c>
      <c r="CL25" s="48"/>
    </row>
    <row r="26" spans="1:90" x14ac:dyDescent="0.25">
      <c r="A26" s="11">
        <v>18</v>
      </c>
      <c r="B26" s="70" t="s">
        <v>102</v>
      </c>
      <c r="C26" s="69">
        <v>0</v>
      </c>
      <c r="D26" s="68">
        <v>1.63</v>
      </c>
      <c r="E26" s="69">
        <v>0.12</v>
      </c>
      <c r="G26" s="62">
        <v>0</v>
      </c>
      <c r="H26" s="62">
        <v>1</v>
      </c>
      <c r="P26" s="31"/>
      <c r="Q26" s="25"/>
      <c r="R26" s="25"/>
      <c r="S26" s="37">
        <v>1</v>
      </c>
      <c r="T26" s="25"/>
      <c r="U26" s="29">
        <f t="shared" ca="1" si="12"/>
        <v>0.1153183874290377</v>
      </c>
      <c r="V26" s="29">
        <f t="shared" ca="1" si="3"/>
        <v>0.19010701102774627</v>
      </c>
      <c r="X26" s="53">
        <f t="shared" si="4"/>
        <v>0.16409999999999997</v>
      </c>
      <c r="Y26" s="53">
        <f t="shared" si="5"/>
        <v>0.34738451318387814</v>
      </c>
      <c r="AA26" s="54">
        <f t="shared" ca="1" si="13"/>
        <v>0.66357825958924355</v>
      </c>
      <c r="AB26" s="54">
        <f t="shared" ca="1" si="13"/>
        <v>0.25780967284266842</v>
      </c>
      <c r="AC26" s="54">
        <f t="shared" ca="1" si="13"/>
        <v>0.68462789653429279</v>
      </c>
      <c r="AD26" s="54">
        <f t="shared" ca="1" si="13"/>
        <v>0.63856346490701121</v>
      </c>
      <c r="AE26" s="54">
        <f t="shared" ca="1" si="13"/>
        <v>0.77203081469872925</v>
      </c>
      <c r="AF26" s="54">
        <f t="shared" ca="1" si="13"/>
        <v>0.85224347223948604</v>
      </c>
      <c r="AG26" s="54">
        <f t="shared" ca="1" si="13"/>
        <v>0.79172684608160926</v>
      </c>
      <c r="AH26" s="54">
        <f t="shared" ca="1" si="13"/>
        <v>0.83354018581585265</v>
      </c>
      <c r="AI26" s="54">
        <f t="shared" ca="1" si="13"/>
        <v>0.50022459084943283</v>
      </c>
      <c r="AJ26" s="54">
        <f t="shared" ca="1" si="13"/>
        <v>0.45467468447494058</v>
      </c>
      <c r="AK26" s="54">
        <f t="shared" ca="1" si="14"/>
        <v>0.64031567665085753</v>
      </c>
      <c r="AL26" s="54">
        <f t="shared" ca="1" si="14"/>
        <v>0.51048481353055231</v>
      </c>
      <c r="AM26" s="54">
        <f t="shared" ca="1" si="14"/>
        <v>0.71078484535403064</v>
      </c>
      <c r="AN26" s="54">
        <f t="shared" ca="1" si="14"/>
        <v>0.51394602860682814</v>
      </c>
      <c r="AO26" s="54">
        <f t="shared" ca="1" si="14"/>
        <v>0.61461391461398385</v>
      </c>
      <c r="AP26" s="54">
        <f t="shared" ca="1" si="14"/>
        <v>0.71337788953358705</v>
      </c>
      <c r="AQ26" s="54">
        <f t="shared" ca="1" si="14"/>
        <v>0.75948076930206865</v>
      </c>
      <c r="AR26" s="54">
        <f t="shared" ca="1" si="14"/>
        <v>1</v>
      </c>
      <c r="AS26" s="54">
        <f t="shared" ca="1" si="14"/>
        <v>0.6556320608616425</v>
      </c>
      <c r="AT26" s="54">
        <f t="shared" ca="1" si="14"/>
        <v>0.62594250673877283</v>
      </c>
      <c r="AV26" s="8">
        <f t="shared" ca="1" si="15"/>
        <v>5.8953106788361888E-2</v>
      </c>
      <c r="AW26" s="8">
        <f t="shared" ca="1" si="15"/>
        <v>5.0579948596257002E-2</v>
      </c>
      <c r="AX26" s="8">
        <f t="shared" ca="1" si="15"/>
        <v>7.6187371656987884E-2</v>
      </c>
      <c r="AY26" s="8">
        <f t="shared" ca="1" si="15"/>
        <v>6.6367718056296029E-2</v>
      </c>
      <c r="AZ26" s="8">
        <f t="shared" ca="1" si="15"/>
        <v>0.10387668273486597</v>
      </c>
      <c r="BA26" s="8">
        <f t="shared" ca="1" si="15"/>
        <v>0.10787058275544821</v>
      </c>
      <c r="BB26" s="8">
        <f t="shared" ca="1" si="15"/>
        <v>9.0586798155139592E-2</v>
      </c>
      <c r="BC26" s="8">
        <f t="shared" ca="1" si="15"/>
        <v>0.11341984658779963</v>
      </c>
      <c r="BD26" s="8">
        <f t="shared" ca="1" si="15"/>
        <v>8.211511539296526E-2</v>
      </c>
      <c r="BE26" s="8">
        <f t="shared" ca="1" si="15"/>
        <v>0.10324744614759243</v>
      </c>
      <c r="BF26" s="8">
        <f t="shared" ca="1" si="16"/>
        <v>0.11404374851783855</v>
      </c>
      <c r="BG26" s="8">
        <f t="shared" ca="1" si="16"/>
        <v>0.12005841971307134</v>
      </c>
      <c r="BH26" s="8">
        <f t="shared" ca="1" si="16"/>
        <v>7.9804740310334965E-2</v>
      </c>
      <c r="BI26" s="8">
        <f t="shared" ca="1" si="16"/>
        <v>9.1340330281864002E-2</v>
      </c>
      <c r="BJ26" s="8">
        <f t="shared" ca="1" si="16"/>
        <v>6.8953857034976668E-2</v>
      </c>
      <c r="BK26" s="8">
        <f t="shared" ca="1" si="16"/>
        <v>0.10693350763909319</v>
      </c>
      <c r="BL26" s="8">
        <f t="shared" ca="1" si="16"/>
        <v>0.1064516749703827</v>
      </c>
      <c r="BM26" s="8">
        <f t="shared" ca="1" si="16"/>
        <v>0.12067600000000001</v>
      </c>
      <c r="BN26" s="8">
        <f t="shared" ca="1" si="16"/>
        <v>8.2540197819002112E-2</v>
      </c>
      <c r="BO26" s="8">
        <f t="shared" ca="1" si="16"/>
        <v>9.7913145920249148E-2</v>
      </c>
      <c r="BP26" s="48"/>
      <c r="BQ26" s="8">
        <f t="shared" ca="1" si="18"/>
        <v>3.9120000000000002E-2</v>
      </c>
      <c r="BR26" s="8">
        <f t="shared" ca="1" si="18"/>
        <v>1.3040000000000003E-2</v>
      </c>
      <c r="BS26" s="8">
        <f t="shared" ca="1" si="18"/>
        <v>5.2160000000000012E-2</v>
      </c>
      <c r="BT26" s="8">
        <f t="shared" ca="1" si="18"/>
        <v>4.2380000000000001E-2</v>
      </c>
      <c r="BU26" s="8">
        <f t="shared" ca="1" si="18"/>
        <v>8.0196000000000003E-2</v>
      </c>
      <c r="BV26" s="8">
        <f t="shared" ca="1" si="18"/>
        <v>9.1932000000000014E-2</v>
      </c>
      <c r="BW26" s="8">
        <f t="shared" ca="1" si="18"/>
        <v>7.1720000000000006E-2</v>
      </c>
      <c r="BX26" s="8">
        <f t="shared" ca="1" si="18"/>
        <v>9.4540000000000013E-2</v>
      </c>
      <c r="BY26" s="8">
        <f t="shared" ca="1" si="18"/>
        <v>4.1076000000000008E-2</v>
      </c>
      <c r="BZ26" s="8">
        <f t="shared" ca="1" si="18"/>
        <v>4.6944000000000007E-2</v>
      </c>
      <c r="CA26" s="8">
        <f t="shared" ca="1" si="18"/>
        <v>7.3024000000000019E-2</v>
      </c>
      <c r="CB26" s="8">
        <f t="shared" ca="1" si="18"/>
        <v>6.1288000000000009E-2</v>
      </c>
      <c r="CC26" s="8">
        <f t="shared" ca="1" si="18"/>
        <v>5.6724000000000011E-2</v>
      </c>
      <c r="CD26" s="8">
        <f t="shared" ca="1" si="18"/>
        <v>4.6944000000000007E-2</v>
      </c>
      <c r="CE26" s="8">
        <f t="shared" ca="1" si="18"/>
        <v>4.2380000000000001E-2</v>
      </c>
      <c r="CF26" s="8">
        <f t="shared" ca="1" si="17"/>
        <v>7.6284000000000005E-2</v>
      </c>
      <c r="CG26" s="8">
        <f t="shared" ca="1" si="11"/>
        <v>8.0848000000000017E-2</v>
      </c>
      <c r="CH26" s="8">
        <f t="shared" ca="1" si="11"/>
        <v>0.12067600000000001</v>
      </c>
      <c r="CI26" s="8">
        <f t="shared" ca="1" si="11"/>
        <v>5.4116000000000004E-2</v>
      </c>
      <c r="CJ26" s="8">
        <f t="shared" ca="1" si="11"/>
        <v>6.1288000000000002E-2</v>
      </c>
      <c r="CL26" s="48"/>
    </row>
    <row r="27" spans="1:90" x14ac:dyDescent="0.25">
      <c r="A27" s="11">
        <v>19</v>
      </c>
      <c r="B27" s="70" t="s">
        <v>103</v>
      </c>
      <c r="C27" s="69">
        <v>0</v>
      </c>
      <c r="D27" s="68">
        <v>0.83</v>
      </c>
      <c r="E27" s="69">
        <v>0.17</v>
      </c>
      <c r="G27" s="62">
        <v>0</v>
      </c>
      <c r="H27" s="62">
        <v>1</v>
      </c>
      <c r="P27" s="31"/>
      <c r="Q27" s="25"/>
      <c r="R27" s="25"/>
      <c r="S27" s="37">
        <v>1</v>
      </c>
      <c r="T27" s="25"/>
      <c r="U27" s="29">
        <f t="shared" ca="1" si="12"/>
        <v>0.12241388394498036</v>
      </c>
      <c r="V27" s="29">
        <f t="shared" ca="1" si="3"/>
        <v>0.21013409293225935</v>
      </c>
      <c r="X27" s="53">
        <f t="shared" si="4"/>
        <v>0.1081</v>
      </c>
      <c r="Y27" s="53">
        <f t="shared" si="5"/>
        <v>0.23760471375795558</v>
      </c>
      <c r="AA27" s="54">
        <f t="shared" ca="1" si="13"/>
        <v>0.49401261372507904</v>
      </c>
      <c r="AB27" s="54">
        <f t="shared" ca="1" si="13"/>
        <v>0.19193098701493183</v>
      </c>
      <c r="AC27" s="54">
        <f t="shared" ca="1" si="13"/>
        <v>0.50968338957542803</v>
      </c>
      <c r="AD27" s="54">
        <f t="shared" ca="1" si="13"/>
        <v>0.47538990581657226</v>
      </c>
      <c r="AE27" s="54">
        <f t="shared" ca="1" si="13"/>
        <v>0.57475204338626851</v>
      </c>
      <c r="AF27" s="54">
        <f t="shared" ca="1" si="13"/>
        <v>0.63446778005020399</v>
      </c>
      <c r="AG27" s="54">
        <f t="shared" ca="1" si="13"/>
        <v>0.58941510354964799</v>
      </c>
      <c r="AH27" s="54">
        <f t="shared" ca="1" si="13"/>
        <v>0.62054378649274888</v>
      </c>
      <c r="AI27" s="54">
        <f t="shared" ca="1" si="13"/>
        <v>0.37240107553863006</v>
      </c>
      <c r="AJ27" s="54">
        <f t="shared" ca="1" si="13"/>
        <v>0.33849063923692768</v>
      </c>
      <c r="AK27" s="54">
        <f t="shared" ca="1" si="14"/>
        <v>0.47669437095066675</v>
      </c>
      <c r="AL27" s="54">
        <f t="shared" ca="1" si="14"/>
        <v>0.38003948043037367</v>
      </c>
      <c r="AM27" s="54">
        <f t="shared" ca="1" si="14"/>
        <v>0.52915639440459539</v>
      </c>
      <c r="AN27" s="54">
        <f t="shared" ca="1" si="14"/>
        <v>0.38261624342974332</v>
      </c>
      <c r="AO27" s="54">
        <f t="shared" ca="1" si="14"/>
        <v>0.45756023800147189</v>
      </c>
      <c r="AP27" s="54">
        <f t="shared" ca="1" si="14"/>
        <v>0.53108683217005237</v>
      </c>
      <c r="AQ27" s="54">
        <f t="shared" ca="1" si="14"/>
        <v>0.56540893933007097</v>
      </c>
      <c r="AR27" s="54">
        <f t="shared" ca="1" si="14"/>
        <v>0.6556320608616425</v>
      </c>
      <c r="AS27" s="54">
        <f t="shared" ca="1" si="14"/>
        <v>1</v>
      </c>
      <c r="AT27" s="54">
        <f t="shared" ca="1" si="14"/>
        <v>0.46599400948888703</v>
      </c>
      <c r="AV27" s="8">
        <f t="shared" ca="1" si="15"/>
        <v>4.0322857041633353E-2</v>
      </c>
      <c r="AW27" s="8">
        <f t="shared" ca="1" si="15"/>
        <v>3.4595768527379188E-2</v>
      </c>
      <c r="AX27" s="8">
        <f t="shared" ca="1" si="15"/>
        <v>5.2110781993748675E-2</v>
      </c>
      <c r="AY27" s="8">
        <f t="shared" ca="1" si="15"/>
        <v>4.5394316824906626E-2</v>
      </c>
      <c r="AZ27" s="8">
        <f t="shared" ca="1" si="15"/>
        <v>7.1049769148111952E-2</v>
      </c>
      <c r="BA27" s="8">
        <f t="shared" ca="1" si="15"/>
        <v>7.3781524408214838E-2</v>
      </c>
      <c r="BB27" s="8">
        <f t="shared" ca="1" si="15"/>
        <v>6.1959728856734043E-2</v>
      </c>
      <c r="BC27" s="8">
        <f t="shared" ca="1" si="15"/>
        <v>7.7577120338409078E-2</v>
      </c>
      <c r="BD27" s="8">
        <f t="shared" ca="1" si="15"/>
        <v>5.6165251321435399E-2</v>
      </c>
      <c r="BE27" s="8">
        <f t="shared" ca="1" si="15"/>
        <v>7.061938272174291E-2</v>
      </c>
      <c r="BF27" s="8">
        <f t="shared" ca="1" si="16"/>
        <v>7.8003857955872932E-2</v>
      </c>
      <c r="BG27" s="8">
        <f t="shared" ca="1" si="16"/>
        <v>8.2117784090902007E-2</v>
      </c>
      <c r="BH27" s="8">
        <f t="shared" ca="1" si="16"/>
        <v>5.4584996619950442E-2</v>
      </c>
      <c r="BI27" s="8">
        <f t="shared" ca="1" si="16"/>
        <v>6.2475131180334473E-2</v>
      </c>
      <c r="BJ27" s="8">
        <f t="shared" ca="1" si="16"/>
        <v>4.7163189035517951E-2</v>
      </c>
      <c r="BK27" s="8">
        <f t="shared" ca="1" si="16"/>
        <v>7.3140582004794036E-2</v>
      </c>
      <c r="BL27" s="8">
        <f t="shared" ca="1" si="16"/>
        <v>7.2811017188334909E-2</v>
      </c>
      <c r="BM27" s="8">
        <f t="shared" ca="1" si="16"/>
        <v>8.2540197819002112E-2</v>
      </c>
      <c r="BN27" s="8">
        <f t="shared" ca="1" si="16"/>
        <v>5.6456000000000006E-2</v>
      </c>
      <c r="BO27" s="8">
        <f t="shared" ca="1" si="16"/>
        <v>6.6970818003067589E-2</v>
      </c>
      <c r="BP27" s="48"/>
      <c r="BQ27" s="8">
        <f t="shared" ca="1" si="18"/>
        <v>1.992E-2</v>
      </c>
      <c r="BR27" s="8">
        <f t="shared" ca="1" si="18"/>
        <v>6.6400000000000018E-3</v>
      </c>
      <c r="BS27" s="8">
        <f t="shared" ca="1" si="18"/>
        <v>2.6560000000000007E-2</v>
      </c>
      <c r="BT27" s="8">
        <f t="shared" ca="1" si="18"/>
        <v>2.1580000000000002E-2</v>
      </c>
      <c r="BU27" s="8">
        <f t="shared" ca="1" si="18"/>
        <v>4.0836000000000004E-2</v>
      </c>
      <c r="BV27" s="8">
        <f t="shared" ca="1" si="18"/>
        <v>4.6812000000000006E-2</v>
      </c>
      <c r="BW27" s="8">
        <f t="shared" ca="1" si="18"/>
        <v>3.6520000000000011E-2</v>
      </c>
      <c r="BX27" s="8">
        <f t="shared" ca="1" si="18"/>
        <v>4.8140000000000009E-2</v>
      </c>
      <c r="BY27" s="8">
        <f t="shared" ca="1" si="18"/>
        <v>2.0916000000000004E-2</v>
      </c>
      <c r="BZ27" s="8">
        <f t="shared" ca="1" si="18"/>
        <v>2.3904000000000005E-2</v>
      </c>
      <c r="CA27" s="8">
        <f t="shared" ca="1" si="18"/>
        <v>3.7184000000000009E-2</v>
      </c>
      <c r="CB27" s="8">
        <f t="shared" ca="1" si="18"/>
        <v>3.1208000000000003E-2</v>
      </c>
      <c r="CC27" s="8">
        <f t="shared" ca="1" si="18"/>
        <v>2.8884000000000003E-2</v>
      </c>
      <c r="CD27" s="8">
        <f t="shared" ca="1" si="18"/>
        <v>2.3904000000000002E-2</v>
      </c>
      <c r="CE27" s="8">
        <f t="shared" ca="1" si="18"/>
        <v>2.1580000000000002E-2</v>
      </c>
      <c r="CF27" s="8">
        <f t="shared" ca="1" si="17"/>
        <v>3.8844000000000004E-2</v>
      </c>
      <c r="CG27" s="8">
        <f t="shared" ca="1" si="11"/>
        <v>4.116800000000001E-2</v>
      </c>
      <c r="CH27" s="8">
        <f t="shared" ca="1" si="11"/>
        <v>5.4116000000000004E-2</v>
      </c>
      <c r="CI27" s="8">
        <f t="shared" ca="1" si="11"/>
        <v>5.6456000000000006E-2</v>
      </c>
      <c r="CJ27" s="8">
        <f t="shared" ca="1" si="11"/>
        <v>3.1208000000000003E-2</v>
      </c>
      <c r="CL27" s="48"/>
    </row>
    <row r="28" spans="1:90" x14ac:dyDescent="0.25">
      <c r="A28" s="11">
        <v>20</v>
      </c>
      <c r="B28" s="70" t="s">
        <v>104</v>
      </c>
      <c r="C28" s="69">
        <v>0</v>
      </c>
      <c r="D28" s="68">
        <v>0.94</v>
      </c>
      <c r="E28" s="69">
        <v>0.21</v>
      </c>
      <c r="G28" s="62">
        <v>0</v>
      </c>
      <c r="H28" s="62">
        <v>1</v>
      </c>
      <c r="P28" s="32"/>
      <c r="Q28" s="33"/>
      <c r="R28" s="33"/>
      <c r="S28" s="37">
        <v>1</v>
      </c>
      <c r="T28" s="33"/>
      <c r="U28" s="29">
        <f t="shared" ca="1" si="12"/>
        <v>0.12950938046092303</v>
      </c>
      <c r="V28" s="29">
        <f t="shared" ca="1" si="3"/>
        <v>0.23058925572228944</v>
      </c>
      <c r="X28" s="53">
        <f t="shared" si="4"/>
        <v>0.11579999999999999</v>
      </c>
      <c r="Y28" s="53">
        <f t="shared" si="5"/>
        <v>0.2818581203371654</v>
      </c>
      <c r="AA28" s="54">
        <f t="shared" ca="1" si="13"/>
        <v>0.47164181292364277</v>
      </c>
      <c r="AB28" s="54">
        <f t="shared" ca="1" si="13"/>
        <v>0.18323960999571354</v>
      </c>
      <c r="AC28" s="54">
        <f t="shared" ca="1" si="13"/>
        <v>0.48660295546663812</v>
      </c>
      <c r="AD28" s="54">
        <f t="shared" ca="1" si="13"/>
        <v>0.4538624132170524</v>
      </c>
      <c r="AE28" s="54">
        <f t="shared" ca="1" si="13"/>
        <v>0.54872504910395636</v>
      </c>
      <c r="AF28" s="54">
        <f t="shared" ca="1" si="13"/>
        <v>0.60573662637498338</v>
      </c>
      <c r="AG28" s="54">
        <f t="shared" ca="1" si="13"/>
        <v>0.56272410922170746</v>
      </c>
      <c r="AH28" s="54">
        <f t="shared" ca="1" si="13"/>
        <v>0.59244316507030925</v>
      </c>
      <c r="AI28" s="54">
        <f t="shared" ca="1" si="13"/>
        <v>0.35553731528705163</v>
      </c>
      <c r="AJ28" s="54">
        <f t="shared" ca="1" si="13"/>
        <v>0.3231624746250536</v>
      </c>
      <c r="AK28" s="54">
        <f t="shared" ca="1" si="14"/>
        <v>0.45510780712734294</v>
      </c>
      <c r="AL28" s="54">
        <f t="shared" ca="1" si="14"/>
        <v>0.36282982367832861</v>
      </c>
      <c r="AM28" s="54">
        <f t="shared" ca="1" si="14"/>
        <v>0.5051941473624193</v>
      </c>
      <c r="AN28" s="54">
        <f t="shared" ca="1" si="14"/>
        <v>0.36528990088836838</v>
      </c>
      <c r="AO28" s="54">
        <f t="shared" ca="1" si="14"/>
        <v>0.43684014168286833</v>
      </c>
      <c r="AP28" s="54">
        <f t="shared" ca="1" si="14"/>
        <v>0.50703716744356853</v>
      </c>
      <c r="AQ28" s="54">
        <f t="shared" ca="1" si="14"/>
        <v>0.53980503691606607</v>
      </c>
      <c r="AR28" s="54">
        <f t="shared" ca="1" si="14"/>
        <v>0.62594250673877283</v>
      </c>
      <c r="AS28" s="54">
        <f t="shared" ca="1" si="14"/>
        <v>0.46599400948888703</v>
      </c>
      <c r="AT28" s="54">
        <f t="shared" ca="1" si="14"/>
        <v>1</v>
      </c>
      <c r="AV28" s="8">
        <f t="shared" ca="1" si="15"/>
        <v>4.7832909173496863E-2</v>
      </c>
      <c r="AW28" s="8">
        <f t="shared" ca="1" si="15"/>
        <v>4.1039161784812324E-2</v>
      </c>
      <c r="AX28" s="8">
        <f t="shared" ca="1" si="15"/>
        <v>6.1816311763158445E-2</v>
      </c>
      <c r="AY28" s="8">
        <f t="shared" ca="1" si="15"/>
        <v>5.3848918280686019E-2</v>
      </c>
      <c r="AZ28" s="8">
        <f t="shared" ca="1" si="15"/>
        <v>8.4282647704020316E-2</v>
      </c>
      <c r="BA28" s="8">
        <f t="shared" ca="1" si="15"/>
        <v>8.7523186962084526E-2</v>
      </c>
      <c r="BB28" s="8">
        <f t="shared" ca="1" si="15"/>
        <v>7.349960544111786E-2</v>
      </c>
      <c r="BC28" s="8">
        <f t="shared" ca="1" si="15"/>
        <v>9.2025705104606531E-2</v>
      </c>
      <c r="BD28" s="8">
        <f t="shared" ca="1" si="15"/>
        <v>6.6625917959905065E-2</v>
      </c>
      <c r="BE28" s="8">
        <f t="shared" ca="1" si="15"/>
        <v>8.3772102659536968E-2</v>
      </c>
      <c r="BF28" s="8">
        <f t="shared" ca="1" si="16"/>
        <v>9.2531921756764585E-2</v>
      </c>
      <c r="BG28" s="8">
        <f t="shared" ca="1" si="16"/>
        <v>9.7412058473271154E-2</v>
      </c>
      <c r="BH28" s="8">
        <f t="shared" ca="1" si="16"/>
        <v>6.4751343955164367E-2</v>
      </c>
      <c r="BI28" s="8">
        <f t="shared" ca="1" si="16"/>
        <v>7.4111000425038126E-2</v>
      </c>
      <c r="BJ28" s="8">
        <f t="shared" ca="1" si="16"/>
        <v>5.5947239431450066E-2</v>
      </c>
      <c r="BK28" s="8">
        <f t="shared" ca="1" si="16"/>
        <v>8.6762870307522694E-2</v>
      </c>
      <c r="BL28" s="8">
        <f t="shared" ca="1" si="16"/>
        <v>8.6371924697785915E-2</v>
      </c>
      <c r="BM28" s="8">
        <f t="shared" ca="1" si="16"/>
        <v>9.7913145920249148E-2</v>
      </c>
      <c r="BN28" s="8">
        <f t="shared" ca="1" si="16"/>
        <v>6.6970818003067589E-2</v>
      </c>
      <c r="BO28" s="8">
        <f t="shared" ca="1" si="16"/>
        <v>7.9444000000000015E-2</v>
      </c>
      <c r="BP28" s="48"/>
      <c r="BQ28" s="8">
        <f t="shared" ca="1" si="18"/>
        <v>2.2560000000000004E-2</v>
      </c>
      <c r="BR28" s="8">
        <f t="shared" ca="1" si="18"/>
        <v>7.5200000000000015E-3</v>
      </c>
      <c r="BS28" s="8">
        <f t="shared" ca="1" si="18"/>
        <v>3.0080000000000006E-2</v>
      </c>
      <c r="BT28" s="8">
        <f t="shared" ca="1" si="18"/>
        <v>2.4440000000000003E-2</v>
      </c>
      <c r="BU28" s="8">
        <f t="shared" ca="1" si="18"/>
        <v>4.6248000000000004E-2</v>
      </c>
      <c r="BV28" s="8">
        <f t="shared" ca="1" si="18"/>
        <v>5.3016000000000008E-2</v>
      </c>
      <c r="BW28" s="8">
        <f t="shared" ca="1" si="18"/>
        <v>4.1360000000000008E-2</v>
      </c>
      <c r="BX28" s="8">
        <f t="shared" ca="1" si="18"/>
        <v>5.4520000000000006E-2</v>
      </c>
      <c r="BY28" s="8">
        <f t="shared" ca="1" si="18"/>
        <v>2.3688000000000004E-2</v>
      </c>
      <c r="BZ28" s="8">
        <f t="shared" ca="1" si="18"/>
        <v>2.7071999999999999E-2</v>
      </c>
      <c r="CA28" s="8">
        <f t="shared" ca="1" si="18"/>
        <v>4.2112000000000004E-2</v>
      </c>
      <c r="CB28" s="8">
        <f t="shared" ca="1" si="18"/>
        <v>3.5344000000000007E-2</v>
      </c>
      <c r="CC28" s="8">
        <f t="shared" ca="1" si="18"/>
        <v>3.2712000000000005E-2</v>
      </c>
      <c r="CD28" s="8">
        <f t="shared" ca="1" si="18"/>
        <v>2.7072000000000002E-2</v>
      </c>
      <c r="CE28" s="8">
        <f t="shared" ca="1" si="18"/>
        <v>2.4440000000000003E-2</v>
      </c>
      <c r="CF28" s="8">
        <f t="shared" ca="1" si="17"/>
        <v>4.3992000000000003E-2</v>
      </c>
      <c r="CG28" s="8">
        <f t="shared" ca="1" si="11"/>
        <v>4.6624000000000006E-2</v>
      </c>
      <c r="CH28" s="8">
        <f t="shared" ca="1" si="11"/>
        <v>6.1288000000000002E-2</v>
      </c>
      <c r="CI28" s="8">
        <f t="shared" ca="1" si="11"/>
        <v>3.1208000000000003E-2</v>
      </c>
      <c r="CJ28" s="8">
        <f t="shared" ca="1" si="11"/>
        <v>7.9444000000000015E-2</v>
      </c>
      <c r="CL28" s="48"/>
    </row>
  </sheetData>
  <mergeCells count="9">
    <mergeCell ref="U7:V7"/>
    <mergeCell ref="CD1:CD2"/>
    <mergeCell ref="E2:J2"/>
    <mergeCell ref="AA7:AT7"/>
    <mergeCell ref="AV7:BO7"/>
    <mergeCell ref="BQ7:CJ7"/>
    <mergeCell ref="G7:H7"/>
    <mergeCell ref="P1:V1"/>
    <mergeCell ref="E1:M1"/>
  </mergeCells>
  <conditionalFormatting sqref="CD1:CD2 CK3:CK4">
    <cfRule type="expression" dxfId="31" priority="117">
      <formula>CD1="Error"</formula>
    </cfRule>
  </conditionalFormatting>
  <conditionalFormatting sqref="X9">
    <cfRule type="expression" dxfId="30" priority="5">
      <formula>$A9&gt;NStocks</formula>
    </cfRule>
  </conditionalFormatting>
  <conditionalFormatting sqref="Y9">
    <cfRule type="expression" dxfId="29" priority="4">
      <formula>$A9&gt;NStocks</formula>
    </cfRule>
  </conditionalFormatting>
  <conditionalFormatting sqref="X10:X28">
    <cfRule type="expression" dxfId="28" priority="3">
      <formula>$A10&gt;NStocks</formula>
    </cfRule>
  </conditionalFormatting>
  <conditionalFormatting sqref="Y10:Y28">
    <cfRule type="expression" dxfId="27" priority="2">
      <formula>$A10&gt;NStocks</formula>
    </cfRule>
  </conditionalFormatting>
  <conditionalFormatting sqref="AA9:AT28">
    <cfRule type="expression" dxfId="26" priority="1">
      <formula>OR(AA$8&gt;NStocks,$A9&gt;NStocks)</formula>
    </cfRule>
  </conditionalFormatting>
  <conditionalFormatting sqref="S9:S28">
    <cfRule type="expression" dxfId="25" priority="126">
      <formula>A9&gt;$B$2</formula>
    </cfRule>
  </conditionalFormatting>
  <conditionalFormatting sqref="AV9:BO28 BQ9:CJ28">
    <cfRule type="expression" dxfId="24" priority="127">
      <formula>OR($A9&gt;$B$2,AV$8&gt;$B$2)</formula>
    </cfRule>
  </conditionalFormatting>
  <conditionalFormatting sqref="G9:H28 B9:E28">
    <cfRule type="expression" dxfId="23" priority="129">
      <formula>$A9&gt;$B$2</formula>
    </cfRule>
  </conditionalFormatting>
  <dataValidations count="10">
    <dataValidation type="decimal" allowBlank="1" showInputMessage="1" showErrorMessage="1" error="Please enter a value between 0% and 10%." sqref="B4" xr:uid="{00000000-0002-0000-0100-000000000000}">
      <formula1>0</formula1>
      <formula2>0.2</formula2>
    </dataValidation>
    <dataValidation type="decimal" allowBlank="1" showInputMessage="1" showErrorMessage="1" error="Please enter a value between -5% and 20%." sqref="B5" xr:uid="{00000000-0002-0000-0100-000001000000}">
      <formula1>-0.05</formula1>
      <formula2>0.2</formula2>
    </dataValidation>
    <dataValidation type="decimal" allowBlank="1" showInputMessage="1" showErrorMessage="1" error="Please enter a value between -2 and 6." sqref="B3" xr:uid="{00000000-0002-0000-0100-000002000000}">
      <formula1>-2</formula1>
      <formula2>6</formula2>
    </dataValidation>
    <dataValidation type="whole" allowBlank="1" showInputMessage="1" showErrorMessage="1" error="Please enter a value between 3 and 20." sqref="B2" xr:uid="{00000000-0002-0000-0100-000003000000}">
      <formula1>3</formula1>
      <formula2>20</formula2>
    </dataValidation>
    <dataValidation type="decimal" allowBlank="1" showInputMessage="1" showErrorMessage="1" error="Please enter a value between 0% and 50%." sqref="B6" xr:uid="{00000000-0002-0000-0100-000004000000}">
      <formula1>0</formula1>
      <formula2>0.5</formula2>
    </dataValidation>
    <dataValidation type="decimal" allowBlank="1" showInputMessage="1" showErrorMessage="1" error="Please enter a value between -20% and 30%." sqref="X9:X28" xr:uid="{00000000-0002-0000-0100-000005000000}">
      <formula1>-0.2</formula1>
      <formula2>0.3</formula2>
    </dataValidation>
    <dataValidation type="decimal" allowBlank="1" showInputMessage="1" showErrorMessage="1" error="Please enter a value between 0 and 30%." sqref="Y9:Y28" xr:uid="{00000000-0002-0000-0100-000006000000}">
      <formula1>0</formula1>
      <formula2>0.3</formula2>
    </dataValidation>
    <dataValidation type="custom" allowBlank="1" showInputMessage="1" showErrorMessage="1" error="Please enter a value between -10% and +10%." sqref="C9:C28" xr:uid="{00000000-0002-0000-0100-000007000000}">
      <formula1>ISNUMBER(C9)</formula1>
    </dataValidation>
    <dataValidation type="custom" allowBlank="1" showInputMessage="1" showErrorMessage="1" error="Please enter a value between -2 and +4." sqref="D9:D28" xr:uid="{00000000-0002-0000-0100-000008000000}">
      <formula1>ISNUMBER(D9)</formula1>
    </dataValidation>
    <dataValidation type="decimal" operator="greaterThan" allowBlank="1" showInputMessage="1" showErrorMessage="1" error="Please enter a value between 0% and 50%." sqref="E9:E28" xr:uid="{00000000-0002-0000-0100-000009000000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E55"/>
  <sheetViews>
    <sheetView showGridLines="0" zoomScaleNormal="100" workbookViewId="0">
      <selection activeCell="V53" sqref="V53"/>
    </sheetView>
  </sheetViews>
  <sheetFormatPr defaultColWidth="9.140625" defaultRowHeight="15" x14ac:dyDescent="0.25"/>
  <cols>
    <col min="1" max="4" width="9.140625" style="4"/>
    <col min="5" max="5" width="9.140625" style="4" customWidth="1"/>
    <col min="6" max="6" width="9.140625" style="4"/>
    <col min="7" max="8" width="9.140625" style="4" customWidth="1"/>
    <col min="9" max="9" width="9.140625" style="4"/>
    <col min="10" max="10" width="9.140625" style="4" customWidth="1"/>
    <col min="11" max="20" width="9.140625" style="4"/>
    <col min="21" max="23" width="9.140625" style="4" customWidth="1"/>
    <col min="24" max="28" width="9.140625" style="4"/>
    <col min="29" max="31" width="9.140625" style="4" hidden="1" customWidth="1"/>
    <col min="32" max="16384" width="9.140625" style="4"/>
  </cols>
  <sheetData>
    <row r="1" spans="1:31" x14ac:dyDescent="0.25">
      <c r="A1" s="22" t="s">
        <v>14</v>
      </c>
      <c r="B1" s="23"/>
      <c r="C1" s="23"/>
      <c r="D1" s="23"/>
      <c r="E1" s="23"/>
      <c r="F1" s="23"/>
      <c r="G1" s="23"/>
      <c r="H1" s="23"/>
      <c r="I1" s="23"/>
    </row>
    <row r="2" spans="1:31" ht="15" customHeight="1" x14ac:dyDescent="0.25">
      <c r="A2" s="78" t="s">
        <v>13</v>
      </c>
      <c r="B2" s="79"/>
      <c r="C2" s="79"/>
      <c r="D2" s="79"/>
      <c r="E2" s="79"/>
      <c r="F2" s="80"/>
      <c r="G2" s="15"/>
    </row>
    <row r="7" spans="1:31" ht="15" customHeight="1" x14ac:dyDescent="0.25">
      <c r="A7" s="96" t="s">
        <v>105</v>
      </c>
      <c r="B7" s="96"/>
      <c r="C7" s="96"/>
      <c r="E7" s="96" t="s">
        <v>106</v>
      </c>
      <c r="F7" s="96"/>
      <c r="G7" s="96"/>
      <c r="I7" s="96" t="s">
        <v>107</v>
      </c>
      <c r="J7" s="96"/>
      <c r="K7" s="96"/>
      <c r="M7" s="97" t="s">
        <v>108</v>
      </c>
      <c r="N7" s="97"/>
      <c r="O7" s="97"/>
      <c r="Q7" s="97" t="s">
        <v>109</v>
      </c>
      <c r="R7" s="97"/>
      <c r="S7" s="97"/>
      <c r="U7" s="96" t="s">
        <v>110</v>
      </c>
      <c r="V7" s="96"/>
      <c r="W7" s="96"/>
      <c r="Y7" s="97" t="s">
        <v>111</v>
      </c>
      <c r="Z7" s="97"/>
      <c r="AA7" s="97"/>
    </row>
    <row r="8" spans="1:31" x14ac:dyDescent="0.25">
      <c r="A8" s="96"/>
      <c r="B8" s="96"/>
      <c r="C8" s="96"/>
      <c r="E8" s="96"/>
      <c r="F8" s="96"/>
      <c r="G8" s="96"/>
      <c r="I8" s="96"/>
      <c r="J8" s="96"/>
      <c r="K8" s="96"/>
      <c r="M8" s="97"/>
      <c r="N8" s="97"/>
      <c r="O8" s="97"/>
      <c r="Q8" s="97"/>
      <c r="R8" s="97"/>
      <c r="S8" s="97"/>
      <c r="U8" s="96"/>
      <c r="V8" s="96"/>
      <c r="W8" s="96"/>
      <c r="Y8" s="97"/>
      <c r="Z8" s="97"/>
      <c r="AA8" s="97"/>
    </row>
    <row r="9" spans="1:31" x14ac:dyDescent="0.25">
      <c r="B9" s="49"/>
      <c r="F9" s="49"/>
      <c r="Y9" s="55"/>
      <c r="Z9" s="55"/>
      <c r="AA9" s="55"/>
    </row>
    <row r="10" spans="1:31" x14ac:dyDescent="0.25">
      <c r="Y10" s="55"/>
      <c r="Z10" s="55"/>
      <c r="AA10" s="55"/>
    </row>
    <row r="11" spans="1:31" ht="15" customHeight="1" x14ac:dyDescent="0.25">
      <c r="N11" s="91" t="s">
        <v>3</v>
      </c>
      <c r="O11" s="92"/>
      <c r="R11" s="97" t="s">
        <v>1</v>
      </c>
      <c r="S11" s="97"/>
      <c r="Y11" s="55"/>
      <c r="Z11" s="91" t="s">
        <v>74</v>
      </c>
      <c r="AA11" s="92"/>
    </row>
    <row r="12" spans="1:31" x14ac:dyDescent="0.25">
      <c r="N12" s="17" t="s">
        <v>5</v>
      </c>
      <c r="O12" s="17" t="s">
        <v>6</v>
      </c>
      <c r="R12" s="17" t="s">
        <v>5</v>
      </c>
      <c r="S12" s="17" t="s">
        <v>6</v>
      </c>
      <c r="Y12" s="55"/>
      <c r="Z12" s="60" t="s">
        <v>5</v>
      </c>
      <c r="AA12" s="60" t="s">
        <v>6</v>
      </c>
      <c r="AE12" s="49"/>
    </row>
    <row r="13" spans="1:31" x14ac:dyDescent="0.25">
      <c r="N13" s="71">
        <v>0.1</v>
      </c>
      <c r="O13" s="71">
        <v>0.2</v>
      </c>
      <c r="P13" s="20" t="str">
        <f>IF(ER_P2_Max&lt;ER_P2_Min,"Error","")</f>
        <v/>
      </c>
      <c r="R13" s="71">
        <v>0.06</v>
      </c>
      <c r="S13" s="71">
        <v>0.2</v>
      </c>
      <c r="T13" s="20" t="str">
        <f>IF(sigma_P3_Max&lt;sigma_P3_Min,"Error","")</f>
        <v/>
      </c>
      <c r="Y13" s="55"/>
      <c r="Z13" s="66">
        <v>0.8</v>
      </c>
      <c r="AA13" s="66">
        <v>1.2</v>
      </c>
    </row>
    <row r="14" spans="1:31" x14ac:dyDescent="0.25">
      <c r="Y14" s="55"/>
      <c r="Z14" s="55"/>
      <c r="AA14" s="55"/>
      <c r="AC14" s="4">
        <f>ROW(StockTitle)</f>
        <v>15</v>
      </c>
      <c r="AD14" s="4" t="str">
        <f ca="1">MID(CELL("address",AD15),2,FIND("$",CELL("address",AD15),2)-2)</f>
        <v>AD</v>
      </c>
      <c r="AE14" s="4" t="str">
        <f ca="1">MID(CELL("address",AE15),2,FIND("$",CELL("address",AE15),2)-2)</f>
        <v>AE</v>
      </c>
    </row>
    <row r="15" spans="1:31" x14ac:dyDescent="0.25">
      <c r="A15" s="43" t="s">
        <v>7</v>
      </c>
      <c r="B15" s="67" t="s">
        <v>83</v>
      </c>
      <c r="C15" s="6" t="s">
        <v>4</v>
      </c>
      <c r="E15" s="45" t="s">
        <v>7</v>
      </c>
      <c r="F15" s="67" t="s">
        <v>83</v>
      </c>
      <c r="G15" s="6" t="s">
        <v>4</v>
      </c>
      <c r="I15" s="43" t="s">
        <v>7</v>
      </c>
      <c r="J15" s="67" t="s">
        <v>83</v>
      </c>
      <c r="K15" s="6" t="s">
        <v>4</v>
      </c>
      <c r="M15" s="43" t="s">
        <v>7</v>
      </c>
      <c r="N15" s="67" t="s">
        <v>83</v>
      </c>
      <c r="O15" s="6" t="s">
        <v>4</v>
      </c>
      <c r="Q15" s="43" t="s">
        <v>7</v>
      </c>
      <c r="R15" s="67" t="s">
        <v>83</v>
      </c>
      <c r="S15" s="6" t="s">
        <v>4</v>
      </c>
      <c r="U15" s="43" t="s">
        <v>7</v>
      </c>
      <c r="V15" s="67" t="s">
        <v>83</v>
      </c>
      <c r="W15" s="6" t="s">
        <v>4</v>
      </c>
      <c r="Y15" s="67" t="s">
        <v>7</v>
      </c>
      <c r="Z15" s="67" t="s">
        <v>83</v>
      </c>
      <c r="AA15" s="6" t="s">
        <v>4</v>
      </c>
      <c r="AC15" s="43" t="s">
        <v>7</v>
      </c>
      <c r="AD15" s="6" t="s">
        <v>37</v>
      </c>
      <c r="AE15" s="6" t="s">
        <v>38</v>
      </c>
    </row>
    <row r="16" spans="1:31" x14ac:dyDescent="0.25">
      <c r="A16" s="21">
        <v>1</v>
      </c>
      <c r="B16" s="46" t="str">
        <f>Data!$B9</f>
        <v>TKR1</v>
      </c>
      <c r="C16" s="3">
        <v>0.27529826746761615</v>
      </c>
      <c r="E16" s="46">
        <v>1</v>
      </c>
      <c r="F16" s="46" t="str">
        <f>Data!$B9</f>
        <v>TKR1</v>
      </c>
      <c r="G16" s="3">
        <v>0.20652442177512476</v>
      </c>
      <c r="I16" s="11">
        <v>1</v>
      </c>
      <c r="J16" s="46" t="str">
        <f>Data!$B9</f>
        <v>TKR1</v>
      </c>
      <c r="K16" s="3">
        <v>0.20708583495552021</v>
      </c>
      <c r="M16" s="7">
        <v>1</v>
      </c>
      <c r="N16" s="46" t="str">
        <f>Data!$B9</f>
        <v>TKR1</v>
      </c>
      <c r="O16" s="3">
        <v>0.15495411311436949</v>
      </c>
      <c r="Q16" s="11">
        <v>1</v>
      </c>
      <c r="R16" s="46" t="str">
        <f>Data!$B9</f>
        <v>TKR1</v>
      </c>
      <c r="S16" s="3">
        <v>9.4968808923240181E-2</v>
      </c>
      <c r="U16" s="11">
        <v>1</v>
      </c>
      <c r="V16" s="46" t="str">
        <f>Data!$B9</f>
        <v>TKR1</v>
      </c>
      <c r="W16" s="3">
        <v>6.0816152647292787E-2</v>
      </c>
      <c r="Y16" s="61">
        <v>1</v>
      </c>
      <c r="Z16" s="46" t="str">
        <f>Data!$B9</f>
        <v>TKR1</v>
      </c>
      <c r="AA16" s="3">
        <v>0.1357628791881739</v>
      </c>
      <c r="AC16" s="44">
        <v>1</v>
      </c>
      <c r="AD16" s="9">
        <f>Data!G9</f>
        <v>0</v>
      </c>
      <c r="AE16" s="9">
        <f>Data!H9</f>
        <v>1</v>
      </c>
    </row>
    <row r="17" spans="1:31" x14ac:dyDescent="0.25">
      <c r="A17" s="21">
        <v>2</v>
      </c>
      <c r="B17" s="46" t="str">
        <f>Data!$B10</f>
        <v>TKR2</v>
      </c>
      <c r="C17" s="3">
        <v>0.34338069479268807</v>
      </c>
      <c r="E17" s="46">
        <v>2</v>
      </c>
      <c r="F17" s="46" t="str">
        <f>Data!$B10</f>
        <v>TKR2</v>
      </c>
      <c r="G17" s="3">
        <v>0.49357087591754251</v>
      </c>
      <c r="I17" s="11">
        <v>2</v>
      </c>
      <c r="J17" s="46" t="str">
        <f>Data!$B10</f>
        <v>TKR2</v>
      </c>
      <c r="K17" s="3">
        <v>0.32952144137817063</v>
      </c>
      <c r="M17" s="7">
        <v>2</v>
      </c>
      <c r="N17" s="46" t="str">
        <f>Data!$B10</f>
        <v>TKR2</v>
      </c>
      <c r="O17" s="3">
        <v>0.15989517187552699</v>
      </c>
      <c r="Q17" s="11">
        <v>2</v>
      </c>
      <c r="R17" s="46" t="str">
        <f>Data!$B10</f>
        <v>TKR2</v>
      </c>
      <c r="S17" s="3">
        <v>6.71615795783016E-2</v>
      </c>
      <c r="U17" s="11">
        <v>2</v>
      </c>
      <c r="V17" s="46" t="str">
        <f>Data!$B10</f>
        <v>TKR2</v>
      </c>
      <c r="W17" s="3">
        <v>1.5677036183037969E-2</v>
      </c>
      <c r="Y17" s="61">
        <v>2</v>
      </c>
      <c r="Z17" s="46" t="str">
        <f>Data!$B10</f>
        <v>TKR2</v>
      </c>
      <c r="AA17" s="3">
        <v>0.12964149570976602</v>
      </c>
      <c r="AC17" s="44">
        <v>2</v>
      </c>
      <c r="AD17" s="9">
        <f>Data!G10</f>
        <v>0</v>
      </c>
      <c r="AE17" s="9">
        <f>Data!H10</f>
        <v>1</v>
      </c>
    </row>
    <row r="18" spans="1:31" x14ac:dyDescent="0.25">
      <c r="A18" s="21">
        <v>3</v>
      </c>
      <c r="B18" s="46" t="str">
        <f>Data!$B11</f>
        <v>TKR3</v>
      </c>
      <c r="C18" s="3">
        <v>0.11473321505429625</v>
      </c>
      <c r="E18" s="46">
        <v>3</v>
      </c>
      <c r="F18" s="46" t="str">
        <f>Data!$B11</f>
        <v>TKR3</v>
      </c>
      <c r="G18" s="3">
        <v>0</v>
      </c>
      <c r="I18" s="11">
        <v>3</v>
      </c>
      <c r="J18" s="46" t="str">
        <f>Data!$B11</f>
        <v>TKR3</v>
      </c>
      <c r="K18" s="3">
        <v>5.513005031546428E-2</v>
      </c>
      <c r="M18" s="7">
        <v>3</v>
      </c>
      <c r="N18" s="46" t="str">
        <f>Data!$B11</f>
        <v>TKR3</v>
      </c>
      <c r="O18" s="3">
        <v>7.9231514992711083E-2</v>
      </c>
      <c r="Q18" s="11">
        <v>3</v>
      </c>
      <c r="R18" s="46" t="str">
        <f>Data!$B11</f>
        <v>TKR3</v>
      </c>
      <c r="S18" s="3">
        <v>6.2529739608127424E-2</v>
      </c>
      <c r="U18" s="11">
        <v>3</v>
      </c>
      <c r="V18" s="46" t="str">
        <f>Data!$B11</f>
        <v>TKR3</v>
      </c>
      <c r="W18" s="3">
        <v>5.1546207258650847E-2</v>
      </c>
      <c r="Y18" s="61">
        <v>3</v>
      </c>
      <c r="Z18" s="46" t="str">
        <f>Data!$B11</f>
        <v>TKR3</v>
      </c>
      <c r="AA18" s="3">
        <v>7.3732249040937378E-2</v>
      </c>
      <c r="AC18" s="44">
        <v>3</v>
      </c>
      <c r="AD18" s="9">
        <f>Data!G11</f>
        <v>0</v>
      </c>
      <c r="AE18" s="9">
        <f>Data!H11</f>
        <v>1</v>
      </c>
    </row>
    <row r="19" spans="1:31" x14ac:dyDescent="0.25">
      <c r="A19" s="21">
        <v>4</v>
      </c>
      <c r="B19" s="46" t="str">
        <f>Data!$B12</f>
        <v>TKR4</v>
      </c>
      <c r="C19" s="3">
        <v>0.18462936983491451</v>
      </c>
      <c r="E19" s="46">
        <v>4</v>
      </c>
      <c r="F19" s="46" t="str">
        <f>Data!$B12</f>
        <v>TKR4</v>
      </c>
      <c r="G19" s="3">
        <v>0.1090955414980168</v>
      </c>
      <c r="I19" s="11">
        <v>4</v>
      </c>
      <c r="J19" s="46" t="str">
        <f>Data!$B12</f>
        <v>TKR4</v>
      </c>
      <c r="K19" s="3">
        <v>0.12983809086486703</v>
      </c>
      <c r="M19" s="7">
        <v>4</v>
      </c>
      <c r="N19" s="46" t="str">
        <f>Data!$B12</f>
        <v>TKR4</v>
      </c>
      <c r="O19" s="3">
        <v>0.10816771438446406</v>
      </c>
      <c r="Q19" s="11">
        <v>4</v>
      </c>
      <c r="R19" s="46" t="str">
        <f>Data!$B12</f>
        <v>TKR4</v>
      </c>
      <c r="S19" s="3">
        <v>6.9937794341715653E-2</v>
      </c>
      <c r="U19" s="11">
        <v>4</v>
      </c>
      <c r="V19" s="46" t="str">
        <f>Data!$B12</f>
        <v>TKR4</v>
      </c>
      <c r="W19" s="3">
        <v>4.8166270405690173E-2</v>
      </c>
      <c r="Y19" s="61">
        <v>4</v>
      </c>
      <c r="Z19" s="46" t="str">
        <f>Data!$B12</f>
        <v>TKR4</v>
      </c>
      <c r="AA19" s="3">
        <v>9.5959169198776881E-2</v>
      </c>
      <c r="AC19" s="44">
        <v>4</v>
      </c>
      <c r="AD19" s="9">
        <f>Data!G12</f>
        <v>0</v>
      </c>
      <c r="AE19" s="9">
        <f>Data!H12</f>
        <v>1</v>
      </c>
    </row>
    <row r="20" spans="1:31" x14ac:dyDescent="0.25">
      <c r="A20" s="21">
        <v>5</v>
      </c>
      <c r="B20" s="46" t="str">
        <f>Data!$B13</f>
        <v>TKR5</v>
      </c>
      <c r="C20" s="3">
        <v>-1.3612024561772554E-2</v>
      </c>
      <c r="E20" s="46">
        <v>5</v>
      </c>
      <c r="F20" s="46" t="str">
        <f>Data!$B13</f>
        <v>TKR5</v>
      </c>
      <c r="G20" s="3">
        <v>0</v>
      </c>
      <c r="I20" s="11">
        <v>5</v>
      </c>
      <c r="J20" s="46" t="str">
        <f>Data!$B13</f>
        <v>TKR5</v>
      </c>
      <c r="K20" s="3">
        <v>0</v>
      </c>
      <c r="M20" s="7">
        <v>5</v>
      </c>
      <c r="N20" s="46" t="str">
        <f>Data!$B13</f>
        <v>TKR5</v>
      </c>
      <c r="O20" s="3">
        <v>2.8242092495810472E-2</v>
      </c>
      <c r="Q20" s="11">
        <v>5</v>
      </c>
      <c r="R20" s="46" t="str">
        <f>Data!$B13</f>
        <v>TKR5</v>
      </c>
      <c r="S20" s="3">
        <v>5.0420817749473615E-2</v>
      </c>
      <c r="U20" s="11">
        <v>5</v>
      </c>
      <c r="V20" s="46" t="str">
        <f>Data!$B13</f>
        <v>TKR5</v>
      </c>
      <c r="W20" s="3">
        <v>6.1684197446370131E-2</v>
      </c>
      <c r="Y20" s="61">
        <v>5</v>
      </c>
      <c r="Z20" s="46" t="str">
        <f>Data!$B13</f>
        <v>TKR5</v>
      </c>
      <c r="AA20" s="3">
        <v>3.5329717821959206E-2</v>
      </c>
      <c r="AC20" s="44">
        <v>5</v>
      </c>
      <c r="AD20" s="9">
        <f>Data!G13</f>
        <v>0</v>
      </c>
      <c r="AE20" s="9">
        <f>Data!H13</f>
        <v>1</v>
      </c>
    </row>
    <row r="21" spans="1:31" x14ac:dyDescent="0.25">
      <c r="A21" s="21">
        <v>6</v>
      </c>
      <c r="B21" s="46" t="str">
        <f>Data!$B14</f>
        <v>TKR6</v>
      </c>
      <c r="C21" s="3">
        <v>-9.692426813875088E-2</v>
      </c>
      <c r="E21" s="46">
        <v>6</v>
      </c>
      <c r="F21" s="46" t="str">
        <f>Data!$B14</f>
        <v>TKR6</v>
      </c>
      <c r="G21" s="3">
        <v>0</v>
      </c>
      <c r="I21" s="11">
        <v>6</v>
      </c>
      <c r="J21" s="46" t="str">
        <f>Data!$B14</f>
        <v>TKR6</v>
      </c>
      <c r="K21" s="3">
        <v>0</v>
      </c>
      <c r="M21" s="7">
        <v>6</v>
      </c>
      <c r="N21" s="46" t="str">
        <f>Data!$B14</f>
        <v>TKR6</v>
      </c>
      <c r="O21" s="3">
        <v>2.447242211061473E-2</v>
      </c>
      <c r="Q21" s="11">
        <v>6</v>
      </c>
      <c r="R21" s="46" t="str">
        <f>Data!$B14</f>
        <v>TKR6</v>
      </c>
      <c r="S21" s="3">
        <v>8.4048678494493267E-2</v>
      </c>
      <c r="U21" s="11">
        <v>6</v>
      </c>
      <c r="V21" s="46" t="str">
        <f>Data!$B14</f>
        <v>TKR6</v>
      </c>
      <c r="W21" s="3">
        <v>0.12199276394246114</v>
      </c>
      <c r="Y21" s="61">
        <v>6</v>
      </c>
      <c r="Z21" s="46" t="str">
        <f>Data!$B14</f>
        <v>TKR6</v>
      </c>
      <c r="AA21" s="3">
        <v>4.5014033877727462E-2</v>
      </c>
      <c r="AC21" s="44">
        <v>6</v>
      </c>
      <c r="AD21" s="9">
        <f>Data!G14</f>
        <v>0</v>
      </c>
      <c r="AE21" s="9">
        <f>Data!H14</f>
        <v>1</v>
      </c>
    </row>
    <row r="22" spans="1:31" x14ac:dyDescent="0.25">
      <c r="A22" s="21">
        <v>7</v>
      </c>
      <c r="B22" s="46" t="str">
        <f>Data!$B15</f>
        <v>TKR7</v>
      </c>
      <c r="C22" s="3">
        <v>2.5878056729842829E-2</v>
      </c>
      <c r="E22" s="46">
        <v>7</v>
      </c>
      <c r="F22" s="46" t="str">
        <f>Data!$B15</f>
        <v>TKR7</v>
      </c>
      <c r="G22" s="3">
        <v>0</v>
      </c>
      <c r="I22" s="11">
        <v>7</v>
      </c>
      <c r="J22" s="46" t="str">
        <f>Data!$B15</f>
        <v>TKR7</v>
      </c>
      <c r="K22" s="3">
        <v>0</v>
      </c>
      <c r="M22" s="7">
        <v>7</v>
      </c>
      <c r="N22" s="46" t="str">
        <f>Data!$B15</f>
        <v>TKR7</v>
      </c>
      <c r="O22" s="3">
        <v>5.6440314708964795E-2</v>
      </c>
      <c r="Q22" s="11">
        <v>7</v>
      </c>
      <c r="R22" s="46" t="str">
        <f>Data!$B15</f>
        <v>TKR7</v>
      </c>
      <c r="S22" s="3">
        <v>7.2714200902304016E-2</v>
      </c>
      <c r="U22" s="11">
        <v>7</v>
      </c>
      <c r="V22" s="46" t="str">
        <f>Data!$B15</f>
        <v>TKR7</v>
      </c>
      <c r="W22" s="3">
        <v>8.2037209368798464E-2</v>
      </c>
      <c r="Y22" s="61">
        <v>7</v>
      </c>
      <c r="Z22" s="46" t="str">
        <f>Data!$B15</f>
        <v>TKR7</v>
      </c>
      <c r="AA22" s="3">
        <v>6.1932212551996185E-2</v>
      </c>
      <c r="AC22" s="44">
        <v>7</v>
      </c>
      <c r="AD22" s="9">
        <f>Data!G15</f>
        <v>0</v>
      </c>
      <c r="AE22" s="9">
        <f>Data!H15</f>
        <v>1</v>
      </c>
    </row>
    <row r="23" spans="1:31" x14ac:dyDescent="0.25">
      <c r="A23" s="21">
        <v>8</v>
      </c>
      <c r="B23" s="46" t="str">
        <f>Data!$B16</f>
        <v>TKR8</v>
      </c>
      <c r="C23" s="3">
        <v>-8.5033300204096204E-2</v>
      </c>
      <c r="E23" s="46">
        <v>8</v>
      </c>
      <c r="F23" s="46" t="str">
        <f>Data!$B16</f>
        <v>TKR8</v>
      </c>
      <c r="G23" s="3">
        <v>0</v>
      </c>
      <c r="I23" s="11">
        <v>8</v>
      </c>
      <c r="J23" s="46" t="str">
        <f>Data!$B16</f>
        <v>TKR8</v>
      </c>
      <c r="K23" s="3">
        <v>0</v>
      </c>
      <c r="M23" s="7">
        <v>8</v>
      </c>
      <c r="N23" s="46" t="str">
        <f>Data!$B16</f>
        <v>TKR8</v>
      </c>
      <c r="O23" s="3">
        <v>1.4304082128597493E-2</v>
      </c>
      <c r="Q23" s="11">
        <v>8</v>
      </c>
      <c r="R23" s="46" t="str">
        <f>Data!$B16</f>
        <v>TKR8</v>
      </c>
      <c r="S23" s="3">
        <v>6.6183292763399626E-2</v>
      </c>
      <c r="U23" s="11">
        <v>8</v>
      </c>
      <c r="V23" s="46" t="str">
        <f>Data!$B16</f>
        <v>TKR8</v>
      </c>
      <c r="W23" s="3">
        <v>9.3803622633813824E-2</v>
      </c>
      <c r="Y23" s="61">
        <v>8</v>
      </c>
      <c r="Z23" s="46" t="str">
        <f>Data!$B16</f>
        <v>TKR8</v>
      </c>
      <c r="AA23" s="3">
        <v>3.1234582354862549E-2</v>
      </c>
      <c r="AC23" s="44">
        <v>8</v>
      </c>
      <c r="AD23" s="9">
        <f>Data!G16</f>
        <v>0</v>
      </c>
      <c r="AE23" s="9">
        <f>Data!H16</f>
        <v>1</v>
      </c>
    </row>
    <row r="24" spans="1:31" x14ac:dyDescent="0.25">
      <c r="A24" s="21">
        <v>9</v>
      </c>
      <c r="B24" s="46" t="str">
        <f>Data!$B17</f>
        <v>TKR9</v>
      </c>
      <c r="C24" s="3">
        <v>9.3916820459449671E-2</v>
      </c>
      <c r="E24" s="46">
        <v>9</v>
      </c>
      <c r="F24" s="46" t="str">
        <f>Data!$B17</f>
        <v>TKR9</v>
      </c>
      <c r="G24" s="3">
        <v>6.1787834698233179E-2</v>
      </c>
      <c r="I24" s="11">
        <v>9</v>
      </c>
      <c r="J24" s="46" t="str">
        <f>Data!$B17</f>
        <v>TKR9</v>
      </c>
      <c r="K24" s="3">
        <v>6.8115644236650869E-2</v>
      </c>
      <c r="M24" s="7">
        <v>9</v>
      </c>
      <c r="N24" s="46" t="str">
        <f>Data!$B17</f>
        <v>TKR9</v>
      </c>
      <c r="O24" s="3">
        <v>5.4006009851093197E-2</v>
      </c>
      <c r="Q24" s="11">
        <v>9</v>
      </c>
      <c r="R24" s="46" t="str">
        <f>Data!$B17</f>
        <v>TKR9</v>
      </c>
      <c r="S24" s="3">
        <v>3.3263617335726019E-2</v>
      </c>
      <c r="U24" s="11">
        <v>9</v>
      </c>
      <c r="V24" s="46" t="str">
        <f>Data!$B17</f>
        <v>TKR9</v>
      </c>
      <c r="W24" s="3">
        <v>2.2865564080008557E-2</v>
      </c>
      <c r="Y24" s="61">
        <v>9</v>
      </c>
      <c r="Z24" s="46" t="str">
        <f>Data!$B17</f>
        <v>TKR9</v>
      </c>
      <c r="AA24" s="3">
        <v>4.77089415619599E-2</v>
      </c>
      <c r="AC24" s="44">
        <v>9</v>
      </c>
      <c r="AD24" s="9">
        <f>Data!G17</f>
        <v>0</v>
      </c>
      <c r="AE24" s="9">
        <f>Data!H17</f>
        <v>1</v>
      </c>
    </row>
    <row r="25" spans="1:31" x14ac:dyDescent="0.25">
      <c r="A25" s="21">
        <v>10</v>
      </c>
      <c r="B25" s="46" t="str">
        <f>Data!$B18</f>
        <v>TKR10</v>
      </c>
      <c r="C25" s="3">
        <v>4.6367662276365108E-2</v>
      </c>
      <c r="E25" s="46">
        <v>10</v>
      </c>
      <c r="F25" s="46" t="str">
        <f>Data!$B18</f>
        <v>TKR10</v>
      </c>
      <c r="G25" s="3">
        <v>1.4228615196464994E-2</v>
      </c>
      <c r="I25" s="11">
        <v>10</v>
      </c>
      <c r="J25" s="46" t="str">
        <f>Data!$B18</f>
        <v>TKR10</v>
      </c>
      <c r="K25" s="3">
        <v>2.8633885859905912E-2</v>
      </c>
      <c r="M25" s="7">
        <v>10</v>
      </c>
      <c r="N25" s="46" t="str">
        <f>Data!$B18</f>
        <v>TKR10</v>
      </c>
      <c r="O25" s="3">
        <v>2.9053878506831565E-2</v>
      </c>
      <c r="Q25" s="11">
        <v>10</v>
      </c>
      <c r="R25" s="46" t="str">
        <f>Data!$B18</f>
        <v>TKR10</v>
      </c>
      <c r="S25" s="3">
        <v>2.1523268546966942E-2</v>
      </c>
      <c r="U25" s="11">
        <v>10</v>
      </c>
      <c r="V25" s="46" t="str">
        <f>Data!$B18</f>
        <v>TKR10</v>
      </c>
      <c r="W25" s="3">
        <v>1.5779319940956996E-2</v>
      </c>
      <c r="Y25" s="61">
        <v>10</v>
      </c>
      <c r="Z25" s="46" t="str">
        <f>Data!$B18</f>
        <v>TKR10</v>
      </c>
      <c r="AA25" s="3">
        <v>2.6386513884950842E-2</v>
      </c>
      <c r="AC25" s="44">
        <v>10</v>
      </c>
      <c r="AD25" s="9">
        <f>Data!G18</f>
        <v>0</v>
      </c>
      <c r="AE25" s="9">
        <f>Data!H18</f>
        <v>1</v>
      </c>
    </row>
    <row r="26" spans="1:31" x14ac:dyDescent="0.25">
      <c r="A26" s="21">
        <v>11</v>
      </c>
      <c r="B26" s="46" t="str">
        <f>Data!$B19</f>
        <v>TKR11</v>
      </c>
      <c r="C26" s="3">
        <v>6.3767335451667753E-3</v>
      </c>
      <c r="E26" s="46">
        <v>11</v>
      </c>
      <c r="F26" s="46" t="str">
        <f>Data!$B19</f>
        <v>TKR11</v>
      </c>
      <c r="G26" s="3">
        <v>0</v>
      </c>
      <c r="I26" s="11">
        <v>11</v>
      </c>
      <c r="J26" s="46" t="str">
        <f>Data!$B19</f>
        <v>TKR11</v>
      </c>
      <c r="K26" s="3">
        <v>0</v>
      </c>
      <c r="M26" s="7">
        <v>11</v>
      </c>
      <c r="N26" s="46" t="str">
        <f>Data!$B19</f>
        <v>TKR11</v>
      </c>
      <c r="O26" s="3">
        <v>1.8479626674784078E-2</v>
      </c>
      <c r="Q26" s="11">
        <v>11</v>
      </c>
      <c r="R26" s="46" t="str">
        <f>Data!$B19</f>
        <v>TKR11</v>
      </c>
      <c r="S26" s="3">
        <v>2.5205844050086846E-2</v>
      </c>
      <c r="U26" s="11">
        <v>11</v>
      </c>
      <c r="V26" s="46" t="str">
        <f>Data!$B19</f>
        <v>TKR11</v>
      </c>
      <c r="W26" s="3">
        <v>2.8168616729722415E-2</v>
      </c>
      <c r="Y26" s="61">
        <v>11</v>
      </c>
      <c r="Z26" s="46" t="str">
        <f>Data!$B19</f>
        <v>TKR11</v>
      </c>
      <c r="AA26" s="3">
        <v>2.0601840535871351E-2</v>
      </c>
      <c r="AC26" s="44">
        <v>11</v>
      </c>
      <c r="AD26" s="9">
        <f>Data!G19</f>
        <v>0</v>
      </c>
      <c r="AE26" s="9">
        <f>Data!H19</f>
        <v>1</v>
      </c>
    </row>
    <row r="27" spans="1:31" x14ac:dyDescent="0.25">
      <c r="A27" s="21">
        <v>12</v>
      </c>
      <c r="B27" s="46" t="str">
        <f>Data!$B20</f>
        <v>TKR12</v>
      </c>
      <c r="C27" s="3">
        <v>1.9181531297632684E-2</v>
      </c>
      <c r="E27" s="46">
        <v>12</v>
      </c>
      <c r="F27" s="46" t="str">
        <f>Data!$B20</f>
        <v>TKR12</v>
      </c>
      <c r="G27" s="3">
        <v>0</v>
      </c>
      <c r="I27" s="11">
        <v>12</v>
      </c>
      <c r="J27" s="46" t="str">
        <f>Data!$B20</f>
        <v>TKR12</v>
      </c>
      <c r="K27" s="3">
        <v>2.3054908579266375E-4</v>
      </c>
      <c r="M27" s="7">
        <v>12</v>
      </c>
      <c r="N27" s="46" t="str">
        <f>Data!$B20</f>
        <v>TKR12</v>
      </c>
      <c r="O27" s="3">
        <v>1.7366075851140913E-2</v>
      </c>
      <c r="Q27" s="11">
        <v>12</v>
      </c>
      <c r="R27" s="46" t="str">
        <f>Data!$B20</f>
        <v>TKR12</v>
      </c>
      <c r="S27" s="3">
        <v>1.6524301482326881E-2</v>
      </c>
      <c r="U27" s="11">
        <v>12</v>
      </c>
      <c r="V27" s="46" t="str">
        <f>Data!$B20</f>
        <v>TKR12</v>
      </c>
      <c r="W27" s="3">
        <v>1.6241752049169337E-2</v>
      </c>
      <c r="Y27" s="61">
        <v>12</v>
      </c>
      <c r="Z27" s="46" t="str">
        <f>Data!$B20</f>
        <v>TKR12</v>
      </c>
      <c r="AA27" s="3">
        <v>1.7198018109882779E-2</v>
      </c>
      <c r="AC27" s="44">
        <v>12</v>
      </c>
      <c r="AD27" s="9">
        <f>Data!G20</f>
        <v>0</v>
      </c>
      <c r="AE27" s="9">
        <f>Data!H20</f>
        <v>1</v>
      </c>
    </row>
    <row r="28" spans="1:31" x14ac:dyDescent="0.25">
      <c r="A28" s="21">
        <v>13</v>
      </c>
      <c r="B28" s="46" t="str">
        <f>Data!$B21</f>
        <v>TKR13</v>
      </c>
      <c r="C28" s="3">
        <v>9.3219916068889325E-2</v>
      </c>
      <c r="E28" s="46">
        <v>13</v>
      </c>
      <c r="F28" s="46" t="str">
        <f>Data!$B21</f>
        <v>TKR13</v>
      </c>
      <c r="G28" s="3">
        <v>0</v>
      </c>
      <c r="I28" s="11">
        <v>13</v>
      </c>
      <c r="J28" s="46" t="str">
        <f>Data!$B21</f>
        <v>TKR13</v>
      </c>
      <c r="K28" s="3">
        <v>2.8070154442246815E-2</v>
      </c>
      <c r="M28" s="7">
        <v>13</v>
      </c>
      <c r="N28" s="46" t="str">
        <f>Data!$B21</f>
        <v>TKR13</v>
      </c>
      <c r="O28" s="3">
        <v>7.2253063325454864E-2</v>
      </c>
      <c r="Q28" s="11">
        <v>13</v>
      </c>
      <c r="R28" s="46" t="str">
        <f>Data!$B21</f>
        <v>TKR13</v>
      </c>
      <c r="S28" s="3">
        <v>6.2923266604976699E-2</v>
      </c>
      <c r="U28" s="11">
        <v>13</v>
      </c>
      <c r="V28" s="46" t="str">
        <f>Data!$B21</f>
        <v>TKR13</v>
      </c>
      <c r="W28" s="3">
        <v>5.6237815923664308E-2</v>
      </c>
      <c r="Y28" s="61">
        <v>13</v>
      </c>
      <c r="Z28" s="46" t="str">
        <f>Data!$B21</f>
        <v>TKR13</v>
      </c>
      <c r="AA28" s="3">
        <v>6.9096569770519284E-2</v>
      </c>
      <c r="AC28" s="44">
        <v>13</v>
      </c>
      <c r="AD28" s="9">
        <f>Data!G21</f>
        <v>0</v>
      </c>
      <c r="AE28" s="9">
        <f>Data!H21</f>
        <v>1</v>
      </c>
    </row>
    <row r="29" spans="1:31" x14ac:dyDescent="0.25">
      <c r="A29" s="21">
        <v>14</v>
      </c>
      <c r="B29" s="46" t="str">
        <f>Data!$B22</f>
        <v>TKR14</v>
      </c>
      <c r="C29" s="3">
        <v>6.4773463379528079E-2</v>
      </c>
      <c r="E29" s="46">
        <v>14</v>
      </c>
      <c r="F29" s="46" t="str">
        <f>Data!$B22</f>
        <v>TKR14</v>
      </c>
      <c r="G29" s="3">
        <v>1.9925644645388572E-2</v>
      </c>
      <c r="I29" s="11">
        <v>14</v>
      </c>
      <c r="J29" s="46" t="str">
        <f>Data!$B22</f>
        <v>TKR14</v>
      </c>
      <c r="K29" s="3">
        <v>3.9973354948504632E-2</v>
      </c>
      <c r="M29" s="7">
        <v>14</v>
      </c>
      <c r="N29" s="46" t="str">
        <f>Data!$B22</f>
        <v>TKR14</v>
      </c>
      <c r="O29" s="3">
        <v>4.0516644246813331E-2</v>
      </c>
      <c r="Q29" s="11">
        <v>14</v>
      </c>
      <c r="R29" s="46" t="str">
        <f>Data!$B22</f>
        <v>TKR14</v>
      </c>
      <c r="S29" s="3">
        <v>2.7900680291463344E-2</v>
      </c>
      <c r="U29" s="11">
        <v>14</v>
      </c>
      <c r="V29" s="46" t="str">
        <f>Data!$B22</f>
        <v>TKR14</v>
      </c>
      <c r="W29" s="3">
        <v>2.1592194765080164E-2</v>
      </c>
      <c r="Y29" s="61">
        <v>14</v>
      </c>
      <c r="Z29" s="46" t="str">
        <f>Data!$B22</f>
        <v>TKR14</v>
      </c>
      <c r="AA29" s="3">
        <v>3.6659508550149239E-2</v>
      </c>
      <c r="AC29" s="44">
        <v>14</v>
      </c>
      <c r="AD29" s="9">
        <f>Data!G22</f>
        <v>0</v>
      </c>
      <c r="AE29" s="9">
        <f>Data!H22</f>
        <v>1</v>
      </c>
    </row>
    <row r="30" spans="1:31" x14ac:dyDescent="0.25">
      <c r="A30" s="21">
        <v>15</v>
      </c>
      <c r="B30" s="46" t="str">
        <f>Data!$B23</f>
        <v>TKR15</v>
      </c>
      <c r="C30" s="3">
        <v>0.16083315205561166</v>
      </c>
      <c r="E30" s="46">
        <v>15</v>
      </c>
      <c r="F30" s="46" t="str">
        <f>Data!$B23</f>
        <v>TKR15</v>
      </c>
      <c r="G30" s="3">
        <v>9.4867066269229167E-2</v>
      </c>
      <c r="I30" s="11">
        <v>15</v>
      </c>
      <c r="J30" s="46" t="str">
        <f>Data!$B23</f>
        <v>TKR15</v>
      </c>
      <c r="K30" s="3">
        <v>0.11340099391287695</v>
      </c>
      <c r="M30" s="7">
        <v>15</v>
      </c>
      <c r="N30" s="46" t="str">
        <f>Data!$B23</f>
        <v>TKR15</v>
      </c>
      <c r="O30" s="3">
        <v>9.4240092084893409E-2</v>
      </c>
      <c r="Q30" s="11">
        <v>15</v>
      </c>
      <c r="R30" s="46" t="str">
        <f>Data!$B23</f>
        <v>TKR15</v>
      </c>
      <c r="S30" s="3">
        <v>6.1686716829397713E-2</v>
      </c>
      <c r="U30" s="11">
        <v>15</v>
      </c>
      <c r="V30" s="46" t="str">
        <f>Data!$B23</f>
        <v>TKR15</v>
      </c>
      <c r="W30" s="3">
        <v>4.171098970269517E-2</v>
      </c>
      <c r="Y30" s="61">
        <v>15</v>
      </c>
      <c r="Z30" s="46" t="str">
        <f>Data!$B23</f>
        <v>TKR15</v>
      </c>
      <c r="AA30" s="3">
        <v>8.3665865476234641E-2</v>
      </c>
      <c r="AC30" s="44">
        <v>15</v>
      </c>
      <c r="AD30" s="9">
        <f>Data!G23</f>
        <v>0</v>
      </c>
      <c r="AE30" s="9">
        <f>Data!H23</f>
        <v>1</v>
      </c>
    </row>
    <row r="31" spans="1:31" x14ac:dyDescent="0.25">
      <c r="A31" s="21">
        <v>16</v>
      </c>
      <c r="B31" s="46" t="str">
        <f>Data!$B24</f>
        <v>TKR16</v>
      </c>
      <c r="C31" s="3">
        <v>5.9006468068046225E-4</v>
      </c>
      <c r="E31" s="46">
        <v>16</v>
      </c>
      <c r="F31" s="46" t="str">
        <f>Data!$B24</f>
        <v>TKR16</v>
      </c>
      <c r="G31" s="3">
        <v>0</v>
      </c>
      <c r="I31" s="11">
        <v>16</v>
      </c>
      <c r="J31" s="46" t="str">
        <f>Data!$B24</f>
        <v>TKR16</v>
      </c>
      <c r="K31" s="3">
        <v>0</v>
      </c>
      <c r="M31" s="7">
        <v>16</v>
      </c>
      <c r="N31" s="46" t="str">
        <f>Data!$B24</f>
        <v>TKR16</v>
      </c>
      <c r="O31" s="3">
        <v>2.3842281352652015E-2</v>
      </c>
      <c r="Q31" s="11">
        <v>16</v>
      </c>
      <c r="R31" s="46" t="str">
        <f>Data!$B24</f>
        <v>TKR16</v>
      </c>
      <c r="S31" s="3">
        <v>3.5293419115089535E-2</v>
      </c>
      <c r="U31" s="11">
        <v>16</v>
      </c>
      <c r="V31" s="46" t="str">
        <f>Data!$B24</f>
        <v>TKR16</v>
      </c>
      <c r="W31" s="3">
        <v>4.2484232717544923E-2</v>
      </c>
      <c r="Y31" s="61">
        <v>16</v>
      </c>
      <c r="Z31" s="46" t="str">
        <f>Data!$B24</f>
        <v>TKR16</v>
      </c>
      <c r="AA31" s="3">
        <v>2.8085844240758176E-2</v>
      </c>
      <c r="AC31" s="44">
        <v>16</v>
      </c>
      <c r="AD31" s="9">
        <f>Data!G24</f>
        <v>0</v>
      </c>
      <c r="AE31" s="9">
        <f>Data!H24</f>
        <v>1</v>
      </c>
    </row>
    <row r="32" spans="1:31" x14ac:dyDescent="0.25">
      <c r="A32" s="21">
        <v>17</v>
      </c>
      <c r="B32" s="46" t="str">
        <f>Data!$B25</f>
        <v>TKR17</v>
      </c>
      <c r="C32" s="3">
        <v>-1.4266483416764239E-2</v>
      </c>
      <c r="E32" s="46">
        <v>17</v>
      </c>
      <c r="F32" s="46" t="str">
        <f>Data!$B25</f>
        <v>TKR17</v>
      </c>
      <c r="G32" s="3">
        <v>0</v>
      </c>
      <c r="I32" s="11">
        <v>17</v>
      </c>
      <c r="J32" s="46" t="str">
        <f>Data!$B25</f>
        <v>TKR17</v>
      </c>
      <c r="K32" s="3">
        <v>0</v>
      </c>
      <c r="M32" s="7">
        <v>17</v>
      </c>
      <c r="N32" s="46" t="str">
        <f>Data!$B25</f>
        <v>TKR17</v>
      </c>
      <c r="O32" s="3">
        <v>2.4534902295277519E-2</v>
      </c>
      <c r="Q32" s="11">
        <v>17</v>
      </c>
      <c r="R32" s="46" t="str">
        <f>Data!$B25</f>
        <v>TKR17</v>
      </c>
      <c r="S32" s="3">
        <v>4.4597666980889718E-2</v>
      </c>
      <c r="U32" s="11">
        <v>17</v>
      </c>
      <c r="V32" s="46" t="str">
        <f>Data!$B25</f>
        <v>TKR17</v>
      </c>
      <c r="W32" s="3">
        <v>5.5444740142725331E-2</v>
      </c>
      <c r="Y32" s="61">
        <v>17</v>
      </c>
      <c r="Z32" s="46" t="str">
        <f>Data!$B25</f>
        <v>TKR17</v>
      </c>
      <c r="AA32" s="3">
        <v>3.1225751917164125E-2</v>
      </c>
      <c r="AC32" s="44">
        <v>17</v>
      </c>
      <c r="AD32" s="9">
        <f>Data!G25</f>
        <v>0</v>
      </c>
      <c r="AE32" s="9">
        <f>Data!H25</f>
        <v>1</v>
      </c>
    </row>
    <row r="33" spans="1:31" x14ac:dyDescent="0.25">
      <c r="A33" s="21">
        <v>18</v>
      </c>
      <c r="B33" s="46" t="str">
        <f>Data!$B26</f>
        <v>TKR18</v>
      </c>
      <c r="C33" s="3">
        <v>-0.2193428713212979</v>
      </c>
      <c r="E33" s="46">
        <v>18</v>
      </c>
      <c r="F33" s="46" t="str">
        <f>Data!$B26</f>
        <v>TKR18</v>
      </c>
      <c r="G33" s="3">
        <v>0</v>
      </c>
      <c r="I33" s="11">
        <v>18</v>
      </c>
      <c r="J33" s="46" t="str">
        <f>Data!$B26</f>
        <v>TKR18</v>
      </c>
      <c r="K33" s="3">
        <v>0</v>
      </c>
      <c r="M33" s="7">
        <v>18</v>
      </c>
      <c r="N33" s="46" t="str">
        <f>Data!$B26</f>
        <v>TKR18</v>
      </c>
      <c r="O33" s="3">
        <v>0</v>
      </c>
      <c r="Q33" s="11">
        <v>18</v>
      </c>
      <c r="R33" s="46" t="str">
        <f>Data!$B26</f>
        <v>TKR18</v>
      </c>
      <c r="S33" s="3">
        <v>0.10311630640202102</v>
      </c>
      <c r="U33" s="11">
        <v>18</v>
      </c>
      <c r="V33" s="46" t="str">
        <f>Data!$B26</f>
        <v>TKR18</v>
      </c>
      <c r="W33" s="3">
        <v>0.16375131406231747</v>
      </c>
      <c r="Y33" s="61">
        <v>18</v>
      </c>
      <c r="Z33" s="46" t="str">
        <f>Data!$B26</f>
        <v>TKR18</v>
      </c>
      <c r="AA33" s="3">
        <v>3.0764806208310121E-2</v>
      </c>
      <c r="AC33" s="44">
        <v>18</v>
      </c>
      <c r="AD33" s="9">
        <f>Data!G26</f>
        <v>0</v>
      </c>
      <c r="AE33" s="9">
        <f>Data!H26</f>
        <v>1</v>
      </c>
    </row>
    <row r="34" spans="1:31" x14ac:dyDescent="0.25">
      <c r="A34" s="21">
        <v>19</v>
      </c>
      <c r="B34" s="46" t="str">
        <f>Data!$B27</f>
        <v>TKR19</v>
      </c>
      <c r="C34" s="3">
        <v>0</v>
      </c>
      <c r="E34" s="46">
        <v>19</v>
      </c>
      <c r="F34" s="46" t="str">
        <f>Data!$B27</f>
        <v>TKR19</v>
      </c>
      <c r="G34" s="3">
        <v>0</v>
      </c>
      <c r="I34" s="11">
        <v>19</v>
      </c>
      <c r="J34" s="46" t="str">
        <f>Data!$B27</f>
        <v>TKR19</v>
      </c>
      <c r="K34" s="3">
        <v>0</v>
      </c>
      <c r="M34" s="7">
        <v>19</v>
      </c>
      <c r="N34" s="46" t="str">
        <f>Data!$B27</f>
        <v>TKR19</v>
      </c>
      <c r="O34" s="3">
        <v>0</v>
      </c>
      <c r="Q34" s="11">
        <v>19</v>
      </c>
      <c r="R34" s="46" t="str">
        <f>Data!$B27</f>
        <v>TKR19</v>
      </c>
      <c r="S34" s="3">
        <v>0</v>
      </c>
      <c r="U34" s="11">
        <v>19</v>
      </c>
      <c r="V34" s="46" t="str">
        <f>Data!$B27</f>
        <v>TKR19</v>
      </c>
      <c r="W34" s="3">
        <v>0</v>
      </c>
      <c r="Y34" s="61">
        <v>19</v>
      </c>
      <c r="Z34" s="46" t="str">
        <f>Data!$B27</f>
        <v>TKR19</v>
      </c>
      <c r="AA34" s="3">
        <v>0</v>
      </c>
      <c r="AC34" s="44">
        <v>19</v>
      </c>
      <c r="AD34" s="9">
        <f>Data!G27</f>
        <v>0</v>
      </c>
      <c r="AE34" s="9">
        <f>Data!H27</f>
        <v>1</v>
      </c>
    </row>
    <row r="35" spans="1:31" x14ac:dyDescent="0.25">
      <c r="A35" s="21">
        <v>20</v>
      </c>
      <c r="B35" s="46" t="str">
        <f>Data!$B28</f>
        <v>TKR20</v>
      </c>
      <c r="C35" s="3">
        <v>0</v>
      </c>
      <c r="E35" s="46">
        <v>20</v>
      </c>
      <c r="F35" s="46" t="str">
        <f>Data!$B28</f>
        <v>TKR20</v>
      </c>
      <c r="G35" s="3">
        <v>0</v>
      </c>
      <c r="I35" s="11">
        <v>20</v>
      </c>
      <c r="J35" s="46" t="str">
        <f>Data!$B28</f>
        <v>TKR20</v>
      </c>
      <c r="K35" s="3">
        <v>0</v>
      </c>
      <c r="M35" s="7">
        <v>20</v>
      </c>
      <c r="N35" s="46" t="str">
        <f>Data!$B28</f>
        <v>TKR20</v>
      </c>
      <c r="O35" s="3">
        <v>0</v>
      </c>
      <c r="Q35" s="11">
        <v>20</v>
      </c>
      <c r="R35" s="46" t="str">
        <f>Data!$B28</f>
        <v>TKR20</v>
      </c>
      <c r="S35" s="3">
        <v>0</v>
      </c>
      <c r="U35" s="11">
        <v>20</v>
      </c>
      <c r="V35" s="46" t="str">
        <f>Data!$B28</f>
        <v>TKR20</v>
      </c>
      <c r="W35" s="3">
        <v>0</v>
      </c>
      <c r="Y35" s="61">
        <v>20</v>
      </c>
      <c r="Z35" s="46" t="str">
        <f>Data!$B28</f>
        <v>TKR20</v>
      </c>
      <c r="AA35" s="3">
        <v>0</v>
      </c>
      <c r="AC35" s="44">
        <v>20</v>
      </c>
      <c r="AD35" s="9">
        <f>Data!G28</f>
        <v>0</v>
      </c>
      <c r="AE35" s="9">
        <f>Data!H28</f>
        <v>1</v>
      </c>
    </row>
    <row r="36" spans="1:31" x14ac:dyDescent="0.25">
      <c r="Y36" s="55"/>
      <c r="Z36" s="55"/>
      <c r="AA36" s="55"/>
    </row>
    <row r="37" spans="1:31" ht="18" customHeight="1" x14ac:dyDescent="0.35">
      <c r="A37" s="93" t="s">
        <v>71</v>
      </c>
      <c r="B37" s="90"/>
      <c r="C37" s="10">
        <f ca="1">SUM(Wts_P0)</f>
        <v>0.99999999999999956</v>
      </c>
      <c r="E37" s="93" t="s">
        <v>71</v>
      </c>
      <c r="F37" s="90"/>
      <c r="G37" s="10">
        <f ca="1">SUM(Wts_P0A)</f>
        <v>1.0000000000000002</v>
      </c>
      <c r="I37" s="93" t="s">
        <v>71</v>
      </c>
      <c r="J37" s="90"/>
      <c r="K37" s="10">
        <f ca="1">SUM(Wts_P1)</f>
        <v>0.99999999999999989</v>
      </c>
      <c r="M37" s="93" t="s">
        <v>71</v>
      </c>
      <c r="N37" s="90"/>
      <c r="O37" s="10">
        <f ca="1">SUM(Wts_P2)</f>
        <v>1</v>
      </c>
      <c r="Q37" s="93" t="s">
        <v>71</v>
      </c>
      <c r="R37" s="90"/>
      <c r="S37" s="10">
        <f ca="1">SUM(Wts_P3)</f>
        <v>1</v>
      </c>
      <c r="U37" s="93" t="s">
        <v>71</v>
      </c>
      <c r="V37" s="90"/>
      <c r="W37" s="10">
        <f ca="1">SUM(Wts_P4)</f>
        <v>1</v>
      </c>
      <c r="Y37" s="93" t="s">
        <v>71</v>
      </c>
      <c r="Z37" s="89"/>
      <c r="AA37" s="58">
        <f ca="1">SUM(Wts_P5)</f>
        <v>1</v>
      </c>
    </row>
    <row r="38" spans="1:31" ht="18" customHeight="1" x14ac:dyDescent="0.35">
      <c r="A38" s="94" t="s">
        <v>65</v>
      </c>
      <c r="B38" s="95"/>
      <c r="C38" s="58">
        <f ca="1">SUMPRODUCT(Wts_P0,Alpha)</f>
        <v>0</v>
      </c>
      <c r="E38" s="94" t="s">
        <v>65</v>
      </c>
      <c r="F38" s="95"/>
      <c r="G38" s="58">
        <f ca="1">SUMPRODUCT(Wts_P0A,Alpha)</f>
        <v>0</v>
      </c>
      <c r="I38" s="94" t="s">
        <v>65</v>
      </c>
      <c r="J38" s="95"/>
      <c r="K38" s="58">
        <f ca="1">SUMPRODUCT(Wts_P1,Alpha)</f>
        <v>0</v>
      </c>
      <c r="M38" s="94" t="s">
        <v>65</v>
      </c>
      <c r="N38" s="95"/>
      <c r="O38" s="58">
        <f ca="1">SUMPRODUCT(Wts_P2,Alpha)</f>
        <v>0</v>
      </c>
      <c r="Q38" s="94" t="s">
        <v>65</v>
      </c>
      <c r="R38" s="95"/>
      <c r="S38" s="58">
        <f ca="1">SUMPRODUCT(Wts_P3,Alpha)</f>
        <v>0</v>
      </c>
      <c r="U38" s="94" t="s">
        <v>65</v>
      </c>
      <c r="V38" s="95"/>
      <c r="W38" s="58">
        <f ca="1">SUMPRODUCT(Wts_P4,Alpha)</f>
        <v>0</v>
      </c>
      <c r="Y38" s="94" t="s">
        <v>65</v>
      </c>
      <c r="Z38" s="95"/>
      <c r="AA38" s="58">
        <f ca="1">SUMPRODUCT(Wts_P5,Alpha)</f>
        <v>0</v>
      </c>
    </row>
    <row r="39" spans="1:31" ht="18" customHeight="1" x14ac:dyDescent="0.35">
      <c r="A39" s="94" t="s">
        <v>66</v>
      </c>
      <c r="B39" s="95"/>
      <c r="C39" s="59">
        <f ca="1">SUMPRODUCT(Wts_P0,Beta)</f>
        <v>0.17288805084953962</v>
      </c>
      <c r="E39" s="94" t="s">
        <v>66</v>
      </c>
      <c r="F39" s="95"/>
      <c r="G39" s="59">
        <f ca="1">SUMPRODUCT(Wts_P0A,Beta)</f>
        <v>0.41872192624331472</v>
      </c>
      <c r="I39" s="94" t="s">
        <v>66</v>
      </c>
      <c r="J39" s="95"/>
      <c r="K39" s="59">
        <f ca="1">SUMPRODUCT(Wts_P1,Beta)</f>
        <v>0.5093130543633968</v>
      </c>
      <c r="M39" s="94" t="s">
        <v>66</v>
      </c>
      <c r="N39" s="95"/>
      <c r="O39" s="59">
        <f ca="1">SUMPRODUCT(Wts_P2,Beta)</f>
        <v>0.71428571154165599</v>
      </c>
      <c r="Q39" s="94" t="s">
        <v>66</v>
      </c>
      <c r="R39" s="95"/>
      <c r="S39" s="59">
        <f ca="1">SUMPRODUCT(Wts_P3,Beta)</f>
        <v>0.98219290284312555</v>
      </c>
      <c r="U39" s="94" t="s">
        <v>66</v>
      </c>
      <c r="V39" s="95"/>
      <c r="W39" s="59">
        <f ca="1">SUMPRODUCT(Wts_P4,Beta)</f>
        <v>1.1358482922989008</v>
      </c>
      <c r="Y39" s="94" t="s">
        <v>66</v>
      </c>
      <c r="Z39" s="95"/>
      <c r="AA39" s="59">
        <f ca="1">SUMPRODUCT(Wts_P5,Beta)</f>
        <v>0.80000000505635727</v>
      </c>
    </row>
    <row r="40" spans="1:31" ht="18" customHeight="1" x14ac:dyDescent="0.35">
      <c r="A40" s="56" t="s">
        <v>67</v>
      </c>
      <c r="B40" s="57"/>
      <c r="C40" s="58">
        <f ca="1">SQRT(SUMPRODUCT(Wts_P0,Wts_P0,sigma_e,sigma_e))</f>
        <v>8.3175126688457474E-2</v>
      </c>
      <c r="E40" s="56" t="s">
        <v>67</v>
      </c>
      <c r="F40" s="57"/>
      <c r="G40" s="58">
        <f t="array" aca="1" ref="G40" ca="1">SQRT(SUMPRODUCT(Wts_P0A,Wts_P0A,sigma_e,sigma_e))</f>
        <v>7.7526609649868086E-2</v>
      </c>
      <c r="I40" s="56" t="s">
        <v>67</v>
      </c>
      <c r="J40" s="57"/>
      <c r="K40" s="58">
        <f t="array" aca="1" ref="K40" ca="1">SQRT(SUMPRODUCT(Wts_P1,Wts_P1,sigma_e,sigma_e))</f>
        <v>6.1400499237705339E-2</v>
      </c>
      <c r="M40" s="56" t="s">
        <v>67</v>
      </c>
      <c r="N40" s="57"/>
      <c r="O40" s="58">
        <f ca="1">SQRT(SUMPRODUCT(Wts_P2,Wts_P2,sigma_e,sigma_e))</f>
        <v>4.4445328933643904E-2</v>
      </c>
      <c r="Q40" s="56" t="s">
        <v>67</v>
      </c>
      <c r="R40" s="57"/>
      <c r="S40" s="58">
        <f ca="1">SQRT(SUMPRODUCT(Wts_P3,Wts_P3,sigma_e,sigma_e))</f>
        <v>3.7577471102523886E-2</v>
      </c>
      <c r="U40" s="56" t="s">
        <v>67</v>
      </c>
      <c r="V40" s="57"/>
      <c r="W40" s="58">
        <f ca="1">SQRT(SUMPRODUCT(Wts_P4,Wts_P4,sigma_e,sigma_e))</f>
        <v>4.0634052085591156E-2</v>
      </c>
      <c r="Y40" s="56" t="s">
        <v>67</v>
      </c>
      <c r="Z40" s="57"/>
      <c r="AA40" s="58">
        <f ca="1">SQRT(SUMPRODUCT(Wts_P5,Wts_P5,sigma_e,sigma_e))</f>
        <v>4.0733896824744265E-2</v>
      </c>
    </row>
    <row r="41" spans="1:31" ht="18" customHeight="1" x14ac:dyDescent="0.35">
      <c r="A41" s="88" t="s">
        <v>68</v>
      </c>
      <c r="B41" s="88"/>
      <c r="C41" s="9">
        <f ca="1">alpha_P0+rf+beta_P0*(ER_M-rf)</f>
        <v>6.2102163559467773E-2</v>
      </c>
      <c r="E41" s="88" t="s">
        <v>68</v>
      </c>
      <c r="F41" s="88"/>
      <c r="G41" s="9">
        <f ca="1">alpha_P0A+rf+beta_P0A*(ER_M-rf)</f>
        <v>7.9310534837032029E-2</v>
      </c>
      <c r="I41" s="88" t="s">
        <v>68</v>
      </c>
      <c r="J41" s="88"/>
      <c r="K41" s="9">
        <f ca="1">alpha_P1+rf+beta_P1*(ER_M-rf)</f>
        <v>8.5651913805437768E-2</v>
      </c>
      <c r="M41" s="88" t="s">
        <v>68</v>
      </c>
      <c r="N41" s="88"/>
      <c r="O41" s="9">
        <f ca="1">alpha_P2+rf+beta_P2*(ER_M-rf)</f>
        <v>9.9999999807915907E-2</v>
      </c>
      <c r="Q41" s="88" t="s">
        <v>68</v>
      </c>
      <c r="R41" s="88"/>
      <c r="S41" s="9">
        <f ca="1">alpha_P3+rf+beta_P3*(ER_M-rf)</f>
        <v>0.11875350319901878</v>
      </c>
      <c r="U41" s="88" t="s">
        <v>68</v>
      </c>
      <c r="V41" s="88"/>
      <c r="W41" s="9">
        <f ca="1">alpha_P4+rf+beta_P4*(ER_M-rf)</f>
        <v>0.12950938046092306</v>
      </c>
      <c r="Y41" s="88" t="s">
        <v>68</v>
      </c>
      <c r="Z41" s="88"/>
      <c r="AA41" s="9">
        <f ca="1">alpha_P5+rf+beta_P5*(ER_M-rf)</f>
        <v>0.106000000353945</v>
      </c>
    </row>
    <row r="42" spans="1:31" ht="18" customHeight="1" x14ac:dyDescent="0.35">
      <c r="A42" s="88" t="s">
        <v>69</v>
      </c>
      <c r="B42" s="88"/>
      <c r="C42" s="9">
        <f ca="1">SQRT(beta_P0^2*sigma_M^2+sigma_e_P0^2)</f>
        <v>9.0076150143659398E-2</v>
      </c>
      <c r="E42" s="88" t="s">
        <v>69</v>
      </c>
      <c r="F42" s="88"/>
      <c r="G42" s="9">
        <f ca="1">SQRT(beta_P0A^2*sigma_M^2+sigma_e_P0A^2)</f>
        <v>0.11412053831138151</v>
      </c>
      <c r="I42" s="88" t="s">
        <v>69</v>
      </c>
      <c r="J42" s="88"/>
      <c r="K42" s="9">
        <f ca="1">SQRT(beta_P1^2*sigma_M^2+sigma_e_P1^2)</f>
        <v>0.11893701190310084</v>
      </c>
      <c r="M42" s="88" t="s">
        <v>69</v>
      </c>
      <c r="N42" s="88"/>
      <c r="O42" s="9">
        <f ca="1">SQRT(beta_P2^2*sigma_M^2+sigma_e_P2^2)</f>
        <v>0.14961133102984747</v>
      </c>
      <c r="Q42" s="88" t="s">
        <v>69</v>
      </c>
      <c r="R42" s="88"/>
      <c r="S42" s="9">
        <f ca="1">SQRT(beta_P3^2*sigma_M^2+sigma_e_P3^2)</f>
        <v>0.20000045567517402</v>
      </c>
      <c r="U42" s="88" t="s">
        <v>69</v>
      </c>
      <c r="V42" s="88"/>
      <c r="W42" s="9">
        <f ca="1">SQRT(beta_P4^2*sigma_M^2+sigma_e_P4^2)</f>
        <v>0.2307751717876681</v>
      </c>
      <c r="Y42" s="88" t="s">
        <v>69</v>
      </c>
      <c r="Z42" s="88"/>
      <c r="AA42" s="9">
        <f ca="1">SQRT(beta_P5^2*sigma_M^2+sigma_e_P5^2)</f>
        <v>0.16510375729866292</v>
      </c>
    </row>
    <row r="43" spans="1:31" ht="18" customHeight="1" x14ac:dyDescent="0.25">
      <c r="A43" s="89" t="s">
        <v>70</v>
      </c>
      <c r="B43" s="90"/>
      <c r="C43" s="8">
        <f ca="1">ER_P0-0.5*A*sigma_P0^2</f>
        <v>3.7761025085358564E-2</v>
      </c>
      <c r="E43" s="89" t="s">
        <v>70</v>
      </c>
      <c r="F43" s="90"/>
      <c r="G43" s="8">
        <f ca="1">ER_P0A-0.5*A*sigma_P0A^2</f>
        <v>4.0240043043593542E-2</v>
      </c>
      <c r="I43" s="89" t="s">
        <v>70</v>
      </c>
      <c r="J43" s="90"/>
      <c r="K43" s="8">
        <f ca="1">ER_P1-0.5*A*sigma_P1^2</f>
        <v>4.321387540412272E-2</v>
      </c>
      <c r="M43" s="89" t="s">
        <v>70</v>
      </c>
      <c r="N43" s="90"/>
      <c r="O43" s="8">
        <f ca="1">ER_P2-0.5*A*sigma_P2^2</f>
        <v>3.2849348690348099E-2</v>
      </c>
      <c r="Q43" s="89" t="s">
        <v>70</v>
      </c>
      <c r="R43" s="90"/>
      <c r="S43" s="8">
        <f ca="1">ER_P3-0.5*A*sigma_P3^2</f>
        <v>-1.2470436118129646E-3</v>
      </c>
      <c r="U43" s="89" t="s">
        <v>70</v>
      </c>
      <c r="V43" s="90"/>
      <c r="W43" s="8">
        <f ca="1">ER_P4-0.5*A*sigma_P4^2</f>
        <v>-3.0262159279960121E-2</v>
      </c>
      <c r="Y43" s="89" t="s">
        <v>70</v>
      </c>
      <c r="Z43" s="89"/>
      <c r="AA43" s="8">
        <f ca="1">ER_P5-0.5*A*sigma_P5^2</f>
        <v>2.4222248331537632E-2</v>
      </c>
    </row>
    <row r="44" spans="1:31" ht="18" customHeight="1" x14ac:dyDescent="0.25">
      <c r="A44" s="89" t="s">
        <v>73</v>
      </c>
      <c r="B44" s="90"/>
      <c r="C44" s="18">
        <f ca="1">NORMDIST(0,ER_P0,sigma_P0,1)</f>
        <v>0.24527299079680537</v>
      </c>
      <c r="E44" s="89" t="s">
        <v>73</v>
      </c>
      <c r="F44" s="90"/>
      <c r="G44" s="18">
        <f ca="1">NORMDIST(0,ER_P0A,sigma_P0A,1)</f>
        <v>0.24353654509960287</v>
      </c>
      <c r="I44" s="89" t="s">
        <v>73</v>
      </c>
      <c r="J44" s="90"/>
      <c r="K44" s="18">
        <f ca="1">NORMDIST(0,ER_P1,sigma_P1,1)</f>
        <v>0.23571781154941329</v>
      </c>
      <c r="M44" s="89" t="s">
        <v>73</v>
      </c>
      <c r="N44" s="90"/>
      <c r="O44" s="18">
        <f ca="1">NORMDIST(0,ER_P2,sigma_P2,1)</f>
        <v>0.25193960383267472</v>
      </c>
      <c r="Q44" s="89" t="s">
        <v>73</v>
      </c>
      <c r="R44" s="90"/>
      <c r="S44" s="18">
        <f ca="1">NORMDIST(0,ER_P3,sigma_P3,1)</f>
        <v>0.2763342617121734</v>
      </c>
      <c r="U44" s="89" t="s">
        <v>73</v>
      </c>
      <c r="V44" s="90"/>
      <c r="W44" s="18">
        <f ca="1">NORMDIST(0,ER_P4,sigma_P4,1)</f>
        <v>0.28733303227275175</v>
      </c>
      <c r="Y44" s="89" t="s">
        <v>73</v>
      </c>
      <c r="Z44" s="89"/>
      <c r="AA44" s="18">
        <f ca="1">NORMDIST(0,ER_P5,sigma_P5,1)</f>
        <v>0.26042992934181297</v>
      </c>
    </row>
    <row r="45" spans="1:31" ht="18" customHeight="1" x14ac:dyDescent="0.25">
      <c r="A45" s="89" t="s">
        <v>72</v>
      </c>
      <c r="B45" s="90"/>
      <c r="C45" s="8">
        <f ca="1">IF(rf=0,ER_P0-rf,(ER_P0-rf)/sigma_P0)</f>
        <v>0.13435480468655064</v>
      </c>
      <c r="E45" s="89" t="s">
        <v>72</v>
      </c>
      <c r="F45" s="90"/>
      <c r="G45" s="8">
        <f ca="1">IF(rf=0,ER_P0A-rf,(ER_P0A-rf)/sigma_P0A)</f>
        <v>0.25683838571684003</v>
      </c>
      <c r="I45" s="89" t="s">
        <v>72</v>
      </c>
      <c r="J45" s="90"/>
      <c r="K45" s="8">
        <f ca="1">IF(rf=0,ER_P1-rf,(ER_P1-rf)/sigma_P1)</f>
        <v>0.2997545779482314</v>
      </c>
      <c r="M45" s="89" t="s">
        <v>72</v>
      </c>
      <c r="N45" s="90"/>
      <c r="O45" s="8">
        <f ca="1">IF(rf=0,ER_P2-rf,(ER_P2-rf)/sigma_P2)</f>
        <v>0.33419928466474841</v>
      </c>
      <c r="Q45" s="89" t="s">
        <v>72</v>
      </c>
      <c r="R45" s="90"/>
      <c r="S45" s="8">
        <f ca="1">IF(rf=0,ER_P3-rf,(ER_P3-rf)/sigma_P3)</f>
        <v>0.34376673276526504</v>
      </c>
      <c r="U45" s="89" t="s">
        <v>72</v>
      </c>
      <c r="V45" s="90"/>
      <c r="W45" s="8">
        <f ca="1">IF(rf=0,ER_P4-rf,(ER_P4-rf)/sigma_P4)</f>
        <v>0.34453177889551367</v>
      </c>
      <c r="Y45" s="89" t="s">
        <v>72</v>
      </c>
      <c r="Z45" s="89"/>
      <c r="AA45" s="8">
        <f ca="1">IF(rf=0,ER_P5-rf,(ER_P5-rf)/sigma_P5)</f>
        <v>0.33918065385177337</v>
      </c>
    </row>
    <row r="48" spans="1:31" x14ac:dyDescent="0.25">
      <c r="A48" s="12"/>
      <c r="B48" s="12"/>
      <c r="C48" s="12"/>
      <c r="L48" s="12"/>
      <c r="M48" s="12"/>
      <c r="N48" s="12"/>
      <c r="O48" s="12"/>
      <c r="P48" s="12"/>
      <c r="Q48" s="12"/>
      <c r="T48" s="12"/>
      <c r="U48" s="12"/>
    </row>
    <row r="52" spans="22:23" x14ac:dyDescent="0.25">
      <c r="V52" s="87" t="s">
        <v>112</v>
      </c>
      <c r="W52" s="87"/>
    </row>
    <row r="53" spans="22:23" x14ac:dyDescent="0.25">
      <c r="V53" s="24">
        <v>0</v>
      </c>
      <c r="W53" s="24">
        <f>rf</f>
        <v>0.05</v>
      </c>
    </row>
    <row r="54" spans="22:23" x14ac:dyDescent="0.25">
      <c r="V54" s="18">
        <f ca="1">sigma_P4</f>
        <v>0.2307751717876681</v>
      </c>
      <c r="W54" s="18">
        <f ca="1">ER_P4</f>
        <v>0.12950938046092306</v>
      </c>
    </row>
    <row r="55" spans="22:23" x14ac:dyDescent="0.25">
      <c r="V55" s="18">
        <f ca="1">V54*1.5</f>
        <v>0.34616275768150218</v>
      </c>
      <c r="W55" s="18">
        <f ca="1">W53+(W54-W53)*1.5</f>
        <v>0.1692640706913846</v>
      </c>
    </row>
  </sheetData>
  <mergeCells count="68">
    <mergeCell ref="E45:F45"/>
    <mergeCell ref="E37:F37"/>
    <mergeCell ref="E41:F41"/>
    <mergeCell ref="E42:F42"/>
    <mergeCell ref="E43:F43"/>
    <mergeCell ref="Q44:R44"/>
    <mergeCell ref="Q41:R41"/>
    <mergeCell ref="U37:V37"/>
    <mergeCell ref="U41:V41"/>
    <mergeCell ref="U42:V42"/>
    <mergeCell ref="U44:V44"/>
    <mergeCell ref="Q38:R38"/>
    <mergeCell ref="Q39:R39"/>
    <mergeCell ref="U38:V38"/>
    <mergeCell ref="U39:V39"/>
    <mergeCell ref="Q43:R43"/>
    <mergeCell ref="U43:V43"/>
    <mergeCell ref="R11:S11"/>
    <mergeCell ref="Q37:R37"/>
    <mergeCell ref="Q42:R42"/>
    <mergeCell ref="A2:F2"/>
    <mergeCell ref="M42:N42"/>
    <mergeCell ref="N11:O11"/>
    <mergeCell ref="A7:C8"/>
    <mergeCell ref="E7:G8"/>
    <mergeCell ref="I7:K8"/>
    <mergeCell ref="M7:O8"/>
    <mergeCell ref="Q7:S8"/>
    <mergeCell ref="Q45:R45"/>
    <mergeCell ref="A45:B45"/>
    <mergeCell ref="A37:B37"/>
    <mergeCell ref="A41:B41"/>
    <mergeCell ref="A42:B42"/>
    <mergeCell ref="A43:B43"/>
    <mergeCell ref="A44:B44"/>
    <mergeCell ref="I45:J45"/>
    <mergeCell ref="I43:J43"/>
    <mergeCell ref="M43:N43"/>
    <mergeCell ref="I41:J41"/>
    <mergeCell ref="I42:J42"/>
    <mergeCell ref="M45:N45"/>
    <mergeCell ref="M41:N41"/>
    <mergeCell ref="M37:N37"/>
    <mergeCell ref="M44:N44"/>
    <mergeCell ref="I44:J44"/>
    <mergeCell ref="I37:J37"/>
    <mergeCell ref="M38:N38"/>
    <mergeCell ref="M39:N39"/>
    <mergeCell ref="A38:B38"/>
    <mergeCell ref="A39:B39"/>
    <mergeCell ref="E38:F38"/>
    <mergeCell ref="E39:F39"/>
    <mergeCell ref="I38:J38"/>
    <mergeCell ref="I39:J39"/>
    <mergeCell ref="E44:F44"/>
    <mergeCell ref="Z11:AA11"/>
    <mergeCell ref="Y37:Z37"/>
    <mergeCell ref="Y38:Z38"/>
    <mergeCell ref="Y39:Z39"/>
    <mergeCell ref="U7:W8"/>
    <mergeCell ref="Y7:AA8"/>
    <mergeCell ref="V52:W52"/>
    <mergeCell ref="Y41:Z41"/>
    <mergeCell ref="Y42:Z42"/>
    <mergeCell ref="Y43:Z43"/>
    <mergeCell ref="Y44:Z44"/>
    <mergeCell ref="Y45:Z45"/>
    <mergeCell ref="U45:V45"/>
  </mergeCells>
  <conditionalFormatting sqref="P13 T13">
    <cfRule type="expression" dxfId="22" priority="72">
      <formula>P13="Error"</formula>
    </cfRule>
  </conditionalFormatting>
  <conditionalFormatting sqref="AD30">
    <cfRule type="expression" dxfId="21" priority="30">
      <formula>X30&gt;NStocks</formula>
    </cfRule>
  </conditionalFormatting>
  <conditionalFormatting sqref="AD16:AE35">
    <cfRule type="expression" dxfId="20" priority="29">
      <formula>$AC16&gt;NStocks</formula>
    </cfRule>
  </conditionalFormatting>
  <conditionalFormatting sqref="C16:C35">
    <cfRule type="expression" dxfId="19" priority="75">
      <formula>$A16&gt;NStocks</formula>
    </cfRule>
  </conditionalFormatting>
  <conditionalFormatting sqref="B16:B35">
    <cfRule type="expression" dxfId="18" priority="13">
      <formula>$A16&gt;NStocks</formula>
    </cfRule>
  </conditionalFormatting>
  <conditionalFormatting sqref="G16:G35">
    <cfRule type="expression" dxfId="17" priority="78">
      <formula>$E16&gt;NStocks</formula>
    </cfRule>
  </conditionalFormatting>
  <conditionalFormatting sqref="F16:F35">
    <cfRule type="expression" dxfId="16" priority="12">
      <formula>$A16&gt;NStocks</formula>
    </cfRule>
  </conditionalFormatting>
  <conditionalFormatting sqref="F16:F35">
    <cfRule type="expression" dxfId="15" priority="11">
      <formula>$A16&gt;NStocks</formula>
    </cfRule>
  </conditionalFormatting>
  <conditionalFormatting sqref="K16:K35">
    <cfRule type="expression" dxfId="14" priority="81">
      <formula>$I16&gt;NStocks</formula>
    </cfRule>
  </conditionalFormatting>
  <conditionalFormatting sqref="J16:J35">
    <cfRule type="expression" dxfId="13" priority="10">
      <formula>$A16&gt;NStocks</formula>
    </cfRule>
  </conditionalFormatting>
  <conditionalFormatting sqref="J16:J35">
    <cfRule type="expression" dxfId="12" priority="9">
      <formula>$A16&gt;NStocks</formula>
    </cfRule>
  </conditionalFormatting>
  <conditionalFormatting sqref="O16:O35">
    <cfRule type="expression" dxfId="11" priority="84">
      <formula>$M16&gt;NStocks</formula>
    </cfRule>
  </conditionalFormatting>
  <conditionalFormatting sqref="N16:N35">
    <cfRule type="expression" dxfId="10" priority="8">
      <formula>$A16&gt;NStocks</formula>
    </cfRule>
  </conditionalFormatting>
  <conditionalFormatting sqref="N16:N35">
    <cfRule type="expression" dxfId="9" priority="7">
      <formula>$A16&gt;NStocks</formula>
    </cfRule>
  </conditionalFormatting>
  <conditionalFormatting sqref="S16:S35">
    <cfRule type="expression" dxfId="8" priority="87">
      <formula>$Q16&gt;NStocks</formula>
    </cfRule>
  </conditionalFormatting>
  <conditionalFormatting sqref="R16:R35">
    <cfRule type="expression" dxfId="7" priority="6">
      <formula>$A16&gt;NStocks</formula>
    </cfRule>
  </conditionalFormatting>
  <conditionalFormatting sqref="R16:R35">
    <cfRule type="expression" dxfId="6" priority="5">
      <formula>$A16&gt;NStocks</formula>
    </cfRule>
  </conditionalFormatting>
  <conditionalFormatting sqref="W16:W35">
    <cfRule type="expression" dxfId="5" priority="90">
      <formula>$U16&gt;NStocks</formula>
    </cfRule>
  </conditionalFormatting>
  <conditionalFormatting sqref="V16:V35">
    <cfRule type="expression" dxfId="4" priority="4">
      <formula>$A16&gt;NStocks</formula>
    </cfRule>
  </conditionalFormatting>
  <conditionalFormatting sqref="V16:V35">
    <cfRule type="expression" dxfId="3" priority="3">
      <formula>$A16&gt;NStocks</formula>
    </cfRule>
  </conditionalFormatting>
  <conditionalFormatting sqref="AA16:AA35">
    <cfRule type="expression" dxfId="2" priority="93">
      <formula>$Y16&gt;NStocks</formula>
    </cfRule>
  </conditionalFormatting>
  <conditionalFormatting sqref="Z16:Z35">
    <cfRule type="expression" dxfId="1" priority="2">
      <formula>$A16&gt;NStocks</formula>
    </cfRule>
  </conditionalFormatting>
  <conditionalFormatting sqref="Z16:Z35">
    <cfRule type="expression" dxfId="0" priority="1">
      <formula>$A16&gt;NStocks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Optimize">
                <anchor moveWithCells="1" sizeWithCells="1">
                  <from>
                    <xdr:col>4</xdr:col>
                    <xdr:colOff>400050</xdr:colOff>
                    <xdr:row>2</xdr:row>
                    <xdr:rowOff>152400</xdr:rowOff>
                  </from>
                  <to>
                    <xdr:col>6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80</vt:i4>
      </vt:variant>
    </vt:vector>
  </HeadingPairs>
  <TitlesOfParts>
    <vt:vector size="84" baseType="lpstr">
      <vt:lpstr>Introduction</vt:lpstr>
      <vt:lpstr>Data</vt:lpstr>
      <vt:lpstr>Models</vt:lpstr>
      <vt:lpstr>Chart1</vt:lpstr>
      <vt:lpstr>A</vt:lpstr>
      <vt:lpstr>AllWts_P0</vt:lpstr>
      <vt:lpstr>AllWts_P0A</vt:lpstr>
      <vt:lpstr>AllWts_P1</vt:lpstr>
      <vt:lpstr>AllWts_P2</vt:lpstr>
      <vt:lpstr>AllWts_P3</vt:lpstr>
      <vt:lpstr>AllWts_P4</vt:lpstr>
      <vt:lpstr>AllWts_P5</vt:lpstr>
      <vt:lpstr>alpha_P0</vt:lpstr>
      <vt:lpstr>alpha_P0A</vt:lpstr>
      <vt:lpstr>alpha_P1</vt:lpstr>
      <vt:lpstr>alpha_P2</vt:lpstr>
      <vt:lpstr>alpha_P3</vt:lpstr>
      <vt:lpstr>alpha_P4</vt:lpstr>
      <vt:lpstr>alpha_P5</vt:lpstr>
      <vt:lpstr>beta_P0</vt:lpstr>
      <vt:lpstr>beta_P0A</vt:lpstr>
      <vt:lpstr>beta_P1</vt:lpstr>
      <vt:lpstr>beta_P2</vt:lpstr>
      <vt:lpstr>beta_P3</vt:lpstr>
      <vt:lpstr>beta_P4</vt:lpstr>
      <vt:lpstr>beta_P5</vt:lpstr>
      <vt:lpstr>beta_P5_Max</vt:lpstr>
      <vt:lpstr>beta_P5_Min</vt:lpstr>
      <vt:lpstr>ER_M</vt:lpstr>
      <vt:lpstr>ER_P0</vt:lpstr>
      <vt:lpstr>ER_P0A</vt:lpstr>
      <vt:lpstr>ER_P1</vt:lpstr>
      <vt:lpstr>ER_P2</vt:lpstr>
      <vt:lpstr>ER_P2_Max</vt:lpstr>
      <vt:lpstr>ER_P2_Min</vt:lpstr>
      <vt:lpstr>ER_P3</vt:lpstr>
      <vt:lpstr>ER_P4</vt:lpstr>
      <vt:lpstr>ER_P5</vt:lpstr>
      <vt:lpstr>EU_P0</vt:lpstr>
      <vt:lpstr>EU_P1</vt:lpstr>
      <vt:lpstr>EU_P2</vt:lpstr>
      <vt:lpstr>EU_P3</vt:lpstr>
      <vt:lpstr>EU_P4</vt:lpstr>
      <vt:lpstr>MaxWtsColumnTitle</vt:lpstr>
      <vt:lpstr>MinWtsColumnTitle</vt:lpstr>
      <vt:lpstr>NStocks</vt:lpstr>
      <vt:lpstr>PoL_P0</vt:lpstr>
      <vt:lpstr>PoL_P1</vt:lpstr>
      <vt:lpstr>PoL_P2</vt:lpstr>
      <vt:lpstr>PoL_P3</vt:lpstr>
      <vt:lpstr>PoL_P4</vt:lpstr>
      <vt:lpstr>PoL_P5</vt:lpstr>
      <vt:lpstr>rf</vt:lpstr>
      <vt:lpstr>sigma_e_P0</vt:lpstr>
      <vt:lpstr>sigma_e_P0A</vt:lpstr>
      <vt:lpstr>sigma_e_P1</vt:lpstr>
      <vt:lpstr>sigma_e_P2</vt:lpstr>
      <vt:lpstr>sigma_e_P3</vt:lpstr>
      <vt:lpstr>sigma_e_P4</vt:lpstr>
      <vt:lpstr>sigma_e_P5</vt:lpstr>
      <vt:lpstr>sigma_M</vt:lpstr>
      <vt:lpstr>sigma_P0</vt:lpstr>
      <vt:lpstr>sigma_P0A</vt:lpstr>
      <vt:lpstr>sigma_P1</vt:lpstr>
      <vt:lpstr>sigma_P2</vt:lpstr>
      <vt:lpstr>sigma_P3</vt:lpstr>
      <vt:lpstr>sigma_P3_Max</vt:lpstr>
      <vt:lpstr>sigma_P3_Min</vt:lpstr>
      <vt:lpstr>sigma_P4</vt:lpstr>
      <vt:lpstr>sigma_P5</vt:lpstr>
      <vt:lpstr>Slope_P0</vt:lpstr>
      <vt:lpstr>Slope_P1</vt:lpstr>
      <vt:lpstr>Slope_P2</vt:lpstr>
      <vt:lpstr>Slope_P3</vt:lpstr>
      <vt:lpstr>Slope_P4</vt:lpstr>
      <vt:lpstr>StockTitle</vt:lpstr>
      <vt:lpstr>StockTitleRow</vt:lpstr>
      <vt:lpstr>SumWts_P0</vt:lpstr>
      <vt:lpstr>SumWts_P0A</vt:lpstr>
      <vt:lpstr>SumWts_P1</vt:lpstr>
      <vt:lpstr>SumWts_P2</vt:lpstr>
      <vt:lpstr>SumWts_P3</vt:lpstr>
      <vt:lpstr>SumWts_P4</vt:lpstr>
      <vt:lpstr>SumWts_P5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Shukla</dc:creator>
  <cp:lastModifiedBy>Mohamed Khalifa</cp:lastModifiedBy>
  <cp:lastPrinted>2008-10-16T12:03:43Z</cp:lastPrinted>
  <dcterms:created xsi:type="dcterms:W3CDTF">1996-10-14T23:33:28Z</dcterms:created>
  <dcterms:modified xsi:type="dcterms:W3CDTF">2018-02-01T02:41:20Z</dcterms:modified>
</cp:coreProperties>
</file>